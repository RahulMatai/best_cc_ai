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429"/>
  <workbookPr defaultThemeVersion="124226"/>
  <mc:AlternateContent xmlns:mc="http://schemas.openxmlformats.org/markup-compatibility/2006">
    <mc:Choice Requires="x15">
      <x15ac:absPath xmlns:x15ac="http://schemas.microsoft.com/office/spreadsheetml/2010/11/ac" url="C:\Users\ajayc\Downloads\"/>
    </mc:Choice>
  </mc:AlternateContent>
  <xr:revisionPtr revIDLastSave="0" documentId="13_ncr:1_{9C1B0ECF-A11C-4A03-B006-F168128F6FDC}" xr6:coauthVersionLast="47" xr6:coauthVersionMax="47" xr10:uidLastSave="{00000000-0000-0000-0000-000000000000}"/>
  <bookViews>
    <workbookView xWindow="-108" yWindow="-108" windowWidth="23256" windowHeight="13176" firstSheet="1" activeTab="5" xr2:uid="{00000000-000D-0000-FFFF-FFFF00000000}"/>
  </bookViews>
  <sheets>
    <sheet name="Quick Report (2)" sheetId="7" r:id="rId1"/>
    <sheet name="Credit Card Database" sheetId="2" r:id="rId2"/>
    <sheet name="Quick Report" sheetId="1" r:id="rId3"/>
    <sheet name="Summary &amp; Insights" sheetId="3" r:id="rId4"/>
    <sheet name="ROI &amp; RR Calculators" sheetId="4" r:id="rId5"/>
    <sheet name="Sheet1" sheetId="8" r:id="rId6"/>
  </sheets>
  <definedNames>
    <definedName name="_xlnm._FilterDatabase" localSheetId="5" hidden="1">Sheet1!$A$1:$J$1</definedName>
  </definedNames>
  <calcPr calcId="191029"/>
</workbook>
</file>

<file path=xl/calcChain.xml><?xml version="1.0" encoding="utf-8"?>
<calcChain xmlns="http://schemas.openxmlformats.org/spreadsheetml/2006/main">
  <c r="O43" i="4" l="1"/>
  <c r="O41" i="4"/>
  <c r="O48" i="4" l="1"/>
  <c r="L43" i="4"/>
  <c r="L41" i="4"/>
  <c r="L38" i="4"/>
  <c r="L48" i="4" s="1"/>
  <c r="I43" i="4"/>
  <c r="I41" i="4"/>
  <c r="F43" i="4"/>
  <c r="F41" i="4"/>
  <c r="F39" i="4"/>
  <c r="F48" i="4" s="1"/>
  <c r="C39" i="4"/>
  <c r="C48" i="4" s="1"/>
  <c r="C43" i="4"/>
  <c r="C41" i="4"/>
  <c r="W97" i="7"/>
  <c r="V97" i="7"/>
  <c r="W96" i="7"/>
  <c r="V96" i="7"/>
  <c r="W95" i="7"/>
  <c r="V95" i="7"/>
  <c r="W94" i="7"/>
  <c r="V94" i="7"/>
  <c r="W93" i="7"/>
  <c r="V93" i="7"/>
  <c r="W92" i="7"/>
  <c r="V92" i="7"/>
  <c r="W91" i="7"/>
  <c r="V91" i="7"/>
  <c r="W90" i="7"/>
  <c r="V90" i="7"/>
  <c r="W89" i="7"/>
  <c r="V89" i="7"/>
  <c r="W88" i="7"/>
  <c r="V88" i="7"/>
  <c r="W87" i="7"/>
  <c r="V87" i="7"/>
  <c r="W86" i="7"/>
  <c r="V86" i="7"/>
  <c r="W85" i="7"/>
  <c r="V85" i="7"/>
  <c r="W84" i="7"/>
  <c r="V84" i="7"/>
  <c r="W83" i="7"/>
  <c r="V83" i="7"/>
  <c r="W82" i="7"/>
  <c r="V82" i="7"/>
  <c r="W81" i="7"/>
  <c r="V81" i="7"/>
  <c r="W80" i="7"/>
  <c r="V80" i="7"/>
  <c r="W79" i="7"/>
  <c r="V79" i="7"/>
  <c r="W78" i="7"/>
  <c r="V78" i="7"/>
  <c r="W77" i="7"/>
  <c r="V77" i="7"/>
  <c r="W76" i="7"/>
  <c r="V76" i="7"/>
  <c r="W75" i="7"/>
  <c r="V75" i="7"/>
  <c r="W74" i="7"/>
  <c r="V74" i="7"/>
  <c r="W73" i="7"/>
  <c r="V73" i="7"/>
  <c r="W72" i="7"/>
  <c r="V72" i="7"/>
  <c r="W71" i="7"/>
  <c r="V71" i="7"/>
  <c r="W70" i="7"/>
  <c r="V70" i="7"/>
  <c r="W69" i="7"/>
  <c r="W68" i="7"/>
  <c r="V68" i="7"/>
  <c r="W67" i="7"/>
  <c r="V67" i="7"/>
  <c r="W66" i="7"/>
  <c r="V66" i="7"/>
  <c r="W65" i="7"/>
  <c r="V65" i="7"/>
  <c r="W64" i="7"/>
  <c r="V64" i="7"/>
  <c r="W63" i="7"/>
  <c r="V63" i="7"/>
  <c r="W62" i="7"/>
  <c r="V62" i="7"/>
  <c r="W61" i="7"/>
  <c r="V61" i="7"/>
  <c r="W60" i="7"/>
  <c r="V60" i="7"/>
  <c r="W59" i="7"/>
  <c r="V59" i="7"/>
  <c r="W58" i="7"/>
  <c r="V58" i="7"/>
  <c r="W57" i="7"/>
  <c r="V57" i="7"/>
  <c r="W56" i="7"/>
  <c r="V56" i="7"/>
  <c r="W55" i="7"/>
  <c r="V55" i="7"/>
  <c r="W54" i="7"/>
  <c r="V54" i="7"/>
  <c r="W53" i="7"/>
  <c r="V53" i="7"/>
  <c r="W52" i="7"/>
  <c r="V52" i="7"/>
  <c r="W51" i="7"/>
  <c r="V51" i="7"/>
  <c r="W50" i="7"/>
  <c r="V50" i="7"/>
  <c r="W49" i="7"/>
  <c r="V49" i="7"/>
  <c r="W48" i="7"/>
  <c r="V48" i="7"/>
  <c r="W47" i="7"/>
  <c r="V47" i="7"/>
  <c r="W46" i="7"/>
  <c r="V46" i="7"/>
  <c r="W45" i="7"/>
  <c r="V45" i="7"/>
  <c r="W44" i="7"/>
  <c r="V44" i="7"/>
  <c r="W43" i="7"/>
  <c r="V43" i="7"/>
  <c r="W42" i="7"/>
  <c r="V42" i="7"/>
  <c r="W41" i="7"/>
  <c r="V41" i="7"/>
  <c r="W40" i="7"/>
  <c r="V40" i="7"/>
  <c r="W39" i="7"/>
  <c r="V39" i="7"/>
  <c r="W38" i="7"/>
  <c r="V38" i="7"/>
  <c r="W37" i="7"/>
  <c r="V37" i="7"/>
  <c r="W36" i="7"/>
  <c r="V36" i="7"/>
  <c r="W35" i="7"/>
  <c r="V35" i="7"/>
  <c r="W34" i="7"/>
  <c r="V34" i="7"/>
  <c r="W33" i="7"/>
  <c r="V33" i="7"/>
  <c r="W32" i="7"/>
  <c r="V32" i="7"/>
  <c r="W31" i="7"/>
  <c r="V31" i="7"/>
  <c r="W30" i="7"/>
  <c r="V30" i="7"/>
  <c r="W29" i="7"/>
  <c r="V29" i="7"/>
  <c r="W28" i="7"/>
  <c r="V28" i="7"/>
  <c r="W27" i="7"/>
  <c r="V27" i="7"/>
  <c r="W26" i="7"/>
  <c r="V26" i="7"/>
  <c r="W25" i="7"/>
  <c r="V25" i="7"/>
  <c r="V24" i="7"/>
  <c r="W23" i="7"/>
  <c r="V23" i="7"/>
  <c r="W22" i="7"/>
  <c r="V22" i="7"/>
  <c r="W21" i="7"/>
  <c r="V21" i="7"/>
  <c r="W20" i="7"/>
  <c r="V20" i="7"/>
  <c r="W19" i="7"/>
  <c r="V19" i="7"/>
  <c r="W18" i="7"/>
  <c r="V18" i="7"/>
  <c r="W17" i="7"/>
  <c r="V17" i="7"/>
  <c r="W16" i="7"/>
  <c r="V16" i="7"/>
  <c r="W15" i="7"/>
  <c r="V15" i="7"/>
  <c r="W14" i="7"/>
  <c r="V14" i="7"/>
  <c r="W13" i="7"/>
  <c r="V13" i="7"/>
  <c r="W12" i="7"/>
  <c r="V12" i="7"/>
  <c r="W10" i="7"/>
  <c r="V10" i="7"/>
  <c r="W9" i="7"/>
  <c r="V9" i="7"/>
  <c r="W8" i="7"/>
  <c r="V8" i="7"/>
  <c r="W7" i="7"/>
  <c r="V7" i="7"/>
  <c r="W6" i="7"/>
  <c r="V6" i="7"/>
  <c r="W5" i="7"/>
  <c r="V5" i="7"/>
  <c r="W4" i="7"/>
  <c r="V4" i="7"/>
  <c r="W3" i="7"/>
  <c r="V3" i="7"/>
  <c r="W2" i="7"/>
  <c r="V2" i="7"/>
  <c r="W69" i="1"/>
  <c r="V68" i="1"/>
  <c r="L22" i="4"/>
  <c r="L24" i="4" s="1"/>
  <c r="L26" i="4" s="1"/>
  <c r="L27" i="4" s="1"/>
  <c r="L29" i="4" s="1"/>
  <c r="L21" i="4"/>
  <c r="I22" i="4"/>
  <c r="I24" i="4" s="1"/>
  <c r="I26" i="4" s="1"/>
  <c r="I21" i="4"/>
  <c r="F21" i="4"/>
  <c r="F22" i="4" s="1"/>
  <c r="F24" i="4" s="1"/>
  <c r="F26" i="4" s="1"/>
  <c r="C21" i="4"/>
  <c r="C22" i="4" s="1"/>
  <c r="C24" i="4" s="1"/>
  <c r="C26" i="4" s="1"/>
  <c r="L13" i="4"/>
  <c r="L5" i="4"/>
  <c r="I5" i="4"/>
  <c r="L8" i="4" s="1"/>
  <c r="F5" i="4"/>
  <c r="F8" i="4" s="1"/>
  <c r="F10" i="4" s="1"/>
  <c r="F12" i="4" s="1"/>
  <c r="C5" i="4"/>
  <c r="C8" i="4" s="1"/>
  <c r="C10" i="4" s="1"/>
  <c r="U26" i="2"/>
  <c r="V3" i="1"/>
  <c r="V4" i="1"/>
  <c r="V5" i="1"/>
  <c r="V6" i="1"/>
  <c r="V7" i="1"/>
  <c r="V8" i="1"/>
  <c r="V9" i="1"/>
  <c r="V10" i="1"/>
  <c r="V12" i="1"/>
  <c r="V13" i="1"/>
  <c r="V14" i="1"/>
  <c r="V15" i="1"/>
  <c r="V16" i="1"/>
  <c r="V17" i="1"/>
  <c r="V18" i="1"/>
  <c r="V19" i="1"/>
  <c r="V20" i="1"/>
  <c r="V21" i="1"/>
  <c r="V22" i="1"/>
  <c r="V23" i="1"/>
  <c r="V24" i="1"/>
  <c r="V25" i="1"/>
  <c r="V26" i="1"/>
  <c r="V27" i="1"/>
  <c r="V28" i="1"/>
  <c r="V29" i="1"/>
  <c r="V30" i="1"/>
  <c r="V31" i="1"/>
  <c r="V32" i="1"/>
  <c r="V33" i="1"/>
  <c r="V34" i="1"/>
  <c r="V35" i="1"/>
  <c r="V36" i="1"/>
  <c r="V37" i="1"/>
  <c r="V38" i="1"/>
  <c r="V39" i="1"/>
  <c r="V40" i="1"/>
  <c r="V41" i="1"/>
  <c r="V42" i="1"/>
  <c r="V43" i="1"/>
  <c r="V44" i="1"/>
  <c r="V45" i="1"/>
  <c r="V46" i="1"/>
  <c r="V47" i="1"/>
  <c r="V48" i="1"/>
  <c r="V49" i="1"/>
  <c r="V50" i="1"/>
  <c r="V51" i="1"/>
  <c r="V52" i="1"/>
  <c r="V53" i="1"/>
  <c r="V54" i="1"/>
  <c r="V55" i="1"/>
  <c r="V56" i="1"/>
  <c r="V57" i="1"/>
  <c r="V58" i="1"/>
  <c r="V59" i="1"/>
  <c r="V60" i="1"/>
  <c r="V61" i="1"/>
  <c r="V62" i="1"/>
  <c r="V63" i="1"/>
  <c r="V64" i="1"/>
  <c r="V65" i="1"/>
  <c r="V66" i="1"/>
  <c r="V67" i="1"/>
  <c r="V70" i="1"/>
  <c r="V71" i="1"/>
  <c r="V72" i="1"/>
  <c r="V73" i="1"/>
  <c r="V74" i="1"/>
  <c r="V75" i="1"/>
  <c r="V76" i="1"/>
  <c r="V77" i="1"/>
  <c r="V78" i="1"/>
  <c r="V79" i="1"/>
  <c r="V80" i="1"/>
  <c r="V81" i="1"/>
  <c r="V82" i="1"/>
  <c r="V83" i="1"/>
  <c r="V84" i="1"/>
  <c r="V85" i="1"/>
  <c r="V86" i="1"/>
  <c r="V87" i="1"/>
  <c r="V88" i="1"/>
  <c r="V89" i="1"/>
  <c r="V90" i="1"/>
  <c r="V91" i="1"/>
  <c r="V92" i="1"/>
  <c r="V93" i="1"/>
  <c r="V94" i="1"/>
  <c r="V95" i="1"/>
  <c r="V96" i="1"/>
  <c r="V97" i="1"/>
  <c r="W4" i="1"/>
  <c r="W3" i="1"/>
  <c r="W5" i="1"/>
  <c r="W6" i="1"/>
  <c r="W7" i="1"/>
  <c r="W8" i="1"/>
  <c r="W9" i="1"/>
  <c r="W10" i="1"/>
  <c r="W12" i="1"/>
  <c r="W13" i="1"/>
  <c r="W14" i="1"/>
  <c r="W15" i="1"/>
  <c r="W16" i="1"/>
  <c r="W17" i="1"/>
  <c r="W18" i="1"/>
  <c r="W19" i="1"/>
  <c r="W20" i="1"/>
  <c r="W21" i="1"/>
  <c r="W22" i="1"/>
  <c r="W23" i="1"/>
  <c r="W25" i="1"/>
  <c r="W26" i="1"/>
  <c r="W27" i="1"/>
  <c r="W28" i="1"/>
  <c r="W29" i="1"/>
  <c r="W30" i="1"/>
  <c r="W31" i="1"/>
  <c r="W32" i="1"/>
  <c r="W33" i="1"/>
  <c r="W34" i="1"/>
  <c r="W35" i="1"/>
  <c r="W36" i="1"/>
  <c r="W37" i="1"/>
  <c r="W38" i="1"/>
  <c r="W39" i="1"/>
  <c r="W40" i="1"/>
  <c r="W41" i="1"/>
  <c r="W42" i="1"/>
  <c r="W43" i="1"/>
  <c r="W44" i="1"/>
  <c r="W45" i="1"/>
  <c r="W46" i="1"/>
  <c r="W47" i="1"/>
  <c r="W48" i="1"/>
  <c r="W49" i="1"/>
  <c r="W50" i="1"/>
  <c r="W51" i="1"/>
  <c r="W52" i="1"/>
  <c r="W53" i="1"/>
  <c r="W54" i="1"/>
  <c r="W55" i="1"/>
  <c r="W56" i="1"/>
  <c r="W57" i="1"/>
  <c r="W58" i="1"/>
  <c r="W59" i="1"/>
  <c r="W60" i="1"/>
  <c r="W61" i="1"/>
  <c r="W62" i="1"/>
  <c r="W63" i="1"/>
  <c r="W64" i="1"/>
  <c r="W65" i="1"/>
  <c r="W66" i="1"/>
  <c r="W67" i="1"/>
  <c r="W68" i="1"/>
  <c r="W70" i="1"/>
  <c r="W71" i="1"/>
  <c r="W72" i="1"/>
  <c r="W73" i="1"/>
  <c r="W74" i="1"/>
  <c r="W75" i="1"/>
  <c r="W76" i="1"/>
  <c r="W77" i="1"/>
  <c r="W78" i="1"/>
  <c r="W79" i="1"/>
  <c r="W80" i="1"/>
  <c r="W81" i="1"/>
  <c r="W82" i="1"/>
  <c r="W83" i="1"/>
  <c r="W84" i="1"/>
  <c r="W85" i="1"/>
  <c r="W86" i="1"/>
  <c r="W87" i="1"/>
  <c r="W88" i="1"/>
  <c r="W89" i="1"/>
  <c r="W90" i="1"/>
  <c r="W91" i="1"/>
  <c r="W92" i="1"/>
  <c r="W93" i="1"/>
  <c r="W94" i="1"/>
  <c r="W95" i="1"/>
  <c r="W96" i="1"/>
  <c r="W97" i="1"/>
  <c r="O39" i="4" l="1"/>
  <c r="O44" i="4"/>
  <c r="O46" i="4" s="1"/>
  <c r="O50" i="4" s="1"/>
  <c r="L39" i="4"/>
  <c r="L44" i="4"/>
  <c r="L46" i="4" s="1"/>
  <c r="L47" i="4" s="1"/>
  <c r="I44" i="4"/>
  <c r="I46" i="4" s="1"/>
  <c r="F44" i="4"/>
  <c r="F46" i="4"/>
  <c r="C44" i="4"/>
  <c r="C46" i="4" s="1"/>
  <c r="C50" i="4" s="1"/>
  <c r="I29" i="4"/>
  <c r="I27" i="4"/>
  <c r="I31" i="4"/>
  <c r="I8" i="4"/>
  <c r="I10" i="4" s="1"/>
  <c r="I12" i="4" s="1"/>
  <c r="I13" i="4" s="1"/>
  <c r="F31" i="4"/>
  <c r="C27" i="4"/>
  <c r="C29" i="4"/>
  <c r="F29" i="4"/>
  <c r="F27" i="4"/>
  <c r="C12" i="4"/>
  <c r="C13" i="4" s="1"/>
  <c r="F17" i="4"/>
  <c r="F15" i="4"/>
  <c r="F13" i="4"/>
  <c r="O47" i="4" l="1"/>
  <c r="L50" i="4"/>
  <c r="F47" i="4"/>
  <c r="F50" i="4"/>
  <c r="C47" i="4"/>
  <c r="I17" i="4"/>
  <c r="I15" i="4"/>
  <c r="C15" i="4"/>
  <c r="I38" i="4" l="1"/>
  <c r="I48" i="4" s="1"/>
  <c r="I39" i="4" l="1"/>
  <c r="I47" i="4"/>
  <c r="I50" i="4"/>
  <c r="I186" i="8"/>
</calcChain>
</file>

<file path=xl/sharedStrings.xml><?xml version="1.0" encoding="utf-8"?>
<sst xmlns="http://schemas.openxmlformats.org/spreadsheetml/2006/main" count="3342" uniqueCount="1371">
  <si>
    <t>Fuel</t>
  </si>
  <si>
    <t>Cashback</t>
  </si>
  <si>
    <t>Online Shopping</t>
  </si>
  <si>
    <t>Grocery</t>
  </si>
  <si>
    <t>Travel</t>
  </si>
  <si>
    <t>UPI</t>
  </si>
  <si>
    <t>Card Name</t>
  </si>
  <si>
    <t>Issuer</t>
  </si>
  <si>
    <t>Annual Fee</t>
  </si>
  <si>
    <t>Reward Type</t>
  </si>
  <si>
    <t>Best for</t>
  </si>
  <si>
    <t>Axis Magnus</t>
  </si>
  <si>
    <t>Axis ACE</t>
  </si>
  <si>
    <t>Axis Airtel</t>
  </si>
  <si>
    <t>Airtel Bill Payments</t>
  </si>
  <si>
    <t>Axis Horizon</t>
  </si>
  <si>
    <t>Axis Atlas</t>
  </si>
  <si>
    <t>Axis MyZone</t>
  </si>
  <si>
    <t>Cashback &amp; Discounts</t>
  </si>
  <si>
    <t>Dining &amp; Movies</t>
  </si>
  <si>
    <t>Axis Neo</t>
  </si>
  <si>
    <t>Axis Flipkart</t>
  </si>
  <si>
    <t>Flipkart Shoppers</t>
  </si>
  <si>
    <t>Axis IndianOil Premium</t>
  </si>
  <si>
    <t>Key benefits</t>
  </si>
  <si>
    <t>Axis Bank</t>
  </si>
  <si>
    <t>12 Edge Miles per ₹200, capped at 25,000 miles/month</t>
  </si>
  <si>
    <t>₹500 per month across all categories</t>
  </si>
  <si>
    <t>₹50,000 in the previous 3 calendar months required for domestic lounge access.</t>
  </si>
  <si>
    <t>5 EDGE Miles on every INR 100 spent on Axis Bank Travel Edge
website and on airline spends 2 EDGE Miles on every INR 100 spent for other spends</t>
  </si>
  <si>
    <t xml:space="preserve"> click here</t>
  </si>
  <si>
    <t>Latest revisions</t>
  </si>
  <si>
    <t>click here</t>
  </si>
  <si>
    <t>NA</t>
  </si>
  <si>
    <t>40% off on Swiggy, 25% on movies tickets, complimentary airport lounge access</t>
  </si>
  <si>
    <t>5% off on paytm (Bill Payments) 10% off on BookMyShow; 1% fuel surcharge waiver</t>
  </si>
  <si>
    <t>Bill payments &amp; Movies</t>
  </si>
  <si>
    <t>Cashback on Bills &amp; offline spends</t>
  </si>
  <si>
    <t>Frequent Travellers</t>
  </si>
  <si>
    <t>clcik here</t>
  </si>
  <si>
    <t>Comments</t>
  </si>
  <si>
    <t>Customizable Rewards</t>
  </si>
  <si>
    <t>Based on selected benefits.</t>
  </si>
  <si>
    <t>Flexible Lifestyle</t>
  </si>
  <si>
    <t>AU SF Bank</t>
  </si>
  <si>
    <t>AU Zenith +</t>
  </si>
  <si>
    <t>Rewards &amp; Lifestyle benefits</t>
  </si>
  <si>
    <t>Travel &amp; Lifestyle</t>
  </si>
  <si>
    <t>Rewards</t>
  </si>
  <si>
    <t>Fee waiver condition</t>
  </si>
  <si>
    <t>AU Vetta</t>
  </si>
  <si>
    <t>20000 in a calendar quarter</t>
  </si>
  <si>
    <t>Offline spends</t>
  </si>
  <si>
    <t>AU LIT</t>
  </si>
  <si>
    <t>LTF / Subscription based</t>
  </si>
  <si>
    <t xml:space="preserve"> NA</t>
  </si>
  <si>
    <t xml:space="preserve">AU Altura + </t>
  </si>
  <si>
    <t>Railway lounge access</t>
  </si>
  <si>
    <t>2 per quarter</t>
  </si>
  <si>
    <t>5% on Dining, 2.5% on Grocery &amp; Departmental Stores, 1.25% on Other categories</t>
  </si>
  <si>
    <t>Grocery &amp; dining</t>
  </si>
  <si>
    <t xml:space="preserve"> AU Ixigo</t>
  </si>
  <si>
    <t>UPI spends</t>
  </si>
  <si>
    <t xml:space="preserve">LTF </t>
  </si>
  <si>
    <t>Grocery &amp; Dept stores</t>
  </si>
  <si>
    <t>AU Xcite</t>
  </si>
  <si>
    <t>AU Xcite Ace</t>
  </si>
  <si>
    <t>Insurance, Utilities </t>
  </si>
  <si>
    <t>AU Xcite ultra</t>
  </si>
  <si>
    <t>Avoid</t>
  </si>
  <si>
    <t xml:space="preserve">AirMiles </t>
  </si>
  <si>
    <t>AirMiles</t>
  </si>
  <si>
    <t>No capping</t>
  </si>
  <si>
    <t>Consider this card if u don't have any premium cards in ur portfolio</t>
  </si>
  <si>
    <t>Consider if LTF</t>
  </si>
  <si>
    <t xml:space="preserve">No Spend criteria </t>
  </si>
  <si>
    <t>1 - Domestic per Quarter</t>
  </si>
  <si>
    <t>Reward Points/Airmiles</t>
  </si>
  <si>
    <t>No capping on base points</t>
  </si>
  <si>
    <t>Utility Bill payments</t>
  </si>
  <si>
    <t>Movie Tickets</t>
  </si>
  <si>
    <t>International Txns</t>
  </si>
  <si>
    <t>Online Txns</t>
  </si>
  <si>
    <t>Offline Txns</t>
  </si>
  <si>
    <t>Domestic</t>
  </si>
  <si>
    <t>International</t>
  </si>
  <si>
    <t>links / References</t>
  </si>
  <si>
    <t>unlimited</t>
  </si>
  <si>
    <t>6 - Domestic per Quarter for MC world and 8 - Domestic per Quarter for VISA Signature,</t>
  </si>
  <si>
    <t xml:space="preserve"> 2 per quarter</t>
  </si>
  <si>
    <t>2 per Quarter</t>
  </si>
  <si>
    <t>1 per Quarter</t>
  </si>
  <si>
    <t>40% Off through EZD</t>
  </si>
  <si>
    <t>25% Off through EZD upto 800 on min order of 2500</t>
  </si>
  <si>
    <t xml:space="preserve">8, 12, 18 based on Tiers, Incl Guest </t>
  </si>
  <si>
    <t>4, 6, 12 Based on Tiers Incl Guests</t>
  </si>
  <si>
    <t>AirMiles / Travel /Hotels</t>
  </si>
  <si>
    <t>20% off on partner Restaurants</t>
  </si>
  <si>
    <t>4% on swiggy</t>
  </si>
  <si>
    <t>4% on PVR</t>
  </si>
  <si>
    <r>
      <t xml:space="preserve">5% via Gpay, </t>
    </r>
    <r>
      <rPr>
        <sz val="11"/>
        <color rgb="FFFF0000"/>
        <rFont val="Calibri"/>
        <family val="2"/>
        <scheme val="minor"/>
      </rPr>
      <t>Conv Fee:1.18% , Net return: 3.82%</t>
    </r>
  </si>
  <si>
    <t xml:space="preserve"> Grocery / Dept Stores</t>
  </si>
  <si>
    <t>Capping on Rewards/Cashback/Miles</t>
  </si>
  <si>
    <t>10% on Swiggy &amp; Zomato</t>
  </si>
  <si>
    <t>40% off upto 120 on Swiggy</t>
  </si>
  <si>
    <t>100% off on 2nd tkt upto 200 in Distict App</t>
  </si>
  <si>
    <t>40% off upto 120 on Zomato</t>
  </si>
  <si>
    <t xml:space="preserve">5% Off upto 150 on min Txn of 299 in Paytm </t>
  </si>
  <si>
    <t>10% off on District</t>
  </si>
  <si>
    <t>BOGO upto 500 16 times in a year</t>
  </si>
  <si>
    <t>4 per Quarter</t>
  </si>
  <si>
    <t>4 per Quarter using PP</t>
  </si>
  <si>
    <t>1 per Quarter using PP</t>
  </si>
  <si>
    <t>2 per Quarter using PP</t>
  </si>
  <si>
    <t>50% off upto 250 in BMS every month</t>
  </si>
  <si>
    <t>16 per year</t>
  </si>
  <si>
    <t>upto 3%</t>
  </si>
  <si>
    <t>20% at sel Restaurants</t>
  </si>
  <si>
    <t>2 - per Quarter</t>
  </si>
  <si>
    <t>2 -  per Quarter</t>
  </si>
  <si>
    <t>2 - per quarter</t>
  </si>
  <si>
    <r>
      <t xml:space="preserve">0% </t>
    </r>
    <r>
      <rPr>
        <sz val="11"/>
        <color rgb="FF00B050"/>
        <rFont val="Calibri"/>
        <family val="2"/>
        <scheme val="minor"/>
      </rPr>
      <t>(considered for Milestone)</t>
    </r>
  </si>
  <si>
    <t>AMEX Gold Charge</t>
  </si>
  <si>
    <t>AMEX Platinum Travel Credit Card</t>
  </si>
  <si>
    <t>AMEX MRCC</t>
  </si>
  <si>
    <t xml:space="preserve">100% - 1.5 Lakh, 50% - 90k </t>
  </si>
  <si>
    <t>Miscellaneous</t>
  </si>
  <si>
    <t>Click here</t>
  </si>
  <si>
    <t>Mark-up Fee Incl GST</t>
  </si>
  <si>
    <t>AirportLounge Access (Per Year/Quarter)</t>
  </si>
  <si>
    <t>Spend Condition for Airport Lounge Access</t>
  </si>
  <si>
    <t>AU Zenith</t>
  </si>
  <si>
    <t>ICICI Emeralde Private Metal</t>
  </si>
  <si>
    <t xml:space="preserve"> BOGO upto 750 on movies &amp; event tkts on BMS twice a month</t>
  </si>
  <si>
    <t>Unlimited</t>
  </si>
  <si>
    <t>EZD prime membership</t>
  </si>
  <si>
    <t xml:space="preserve">upto 3% </t>
  </si>
  <si>
    <t>Lifestyle &amp; Travel</t>
  </si>
  <si>
    <t>ICICI AMAZON PAY</t>
  </si>
  <si>
    <t>LTF</t>
  </si>
  <si>
    <t>Cashback as Apay Balance</t>
  </si>
  <si>
    <t>15% at sel Restaurants</t>
  </si>
  <si>
    <t>0% (1% Fee if Txn value&gt; 10k)</t>
  </si>
  <si>
    <t>Online shopping on Amazon &amp; Utility Bills</t>
  </si>
  <si>
    <t>ICICI Coral RuPay</t>
  </si>
  <si>
    <t xml:space="preserve"> Rupay UPI payments, ICICI instant discount offers</t>
  </si>
  <si>
    <t>1 per quarter</t>
  </si>
  <si>
    <t>75000 in preceding quarter</t>
  </si>
  <si>
    <t>UPI Payments &amp; ICICI Ncard offers</t>
  </si>
  <si>
    <t>25% off upto 100 in BMS once per month</t>
  </si>
  <si>
    <t>***
SBI offers a wide range of credit cards, but many lack competitive benefits—so here, I've highlighted a few that are truly valuable and worthwhile.***</t>
  </si>
  <si>
    <t>SBI Card</t>
  </si>
  <si>
    <t>***I've covered three popular AMEX India cards that are easy to get. Considering the high fee, I've excluded the AMEX Platinum Charge Card from this list***</t>
  </si>
  <si>
    <t>AMEX India</t>
  </si>
  <si>
    <t>***I've covered some popular Axis credit cards that are easy to get. Though most cards have lost their charm, some can still be considered as alternatives. Considering the high fees, I've excluded the Primus, Burgundy Private, Olympus, and Magnus for Burgundy cards from this list.***</t>
  </si>
  <si>
    <t>***Though most AU credit cards are LTF, they are not very useful. So, I’ve excluded some and mentioned a few with good features that can be considered for occasional offers***</t>
  </si>
  <si>
    <t>SBI Cahback</t>
  </si>
  <si>
    <t>SBI SimplyClick</t>
  </si>
  <si>
    <t>SBI Air india Signature</t>
  </si>
  <si>
    <t>SBI SBI Elite</t>
  </si>
  <si>
    <t>5% or 1%</t>
  </si>
  <si>
    <t>Online Txns &amp; SBI card offers</t>
  </si>
  <si>
    <t>Enjoy 10 Reward Points per Rs 150 spent on Dining, Movies, Departmental Stores and Grocery Spends.On all your other spends, earn 1 Reward Point per Rs 150 spent (4 Reward Points = Rs. 1)</t>
  </si>
  <si>
    <t>SBI SimplySave Rupay</t>
  </si>
  <si>
    <t>10000 RP upper cap on 5X category per month</t>
  </si>
  <si>
    <t>2.5% on BMS</t>
  </si>
  <si>
    <t>grocery/Dept stores, UPI and SBI card offers</t>
  </si>
  <si>
    <t>Rewards/AirMiles</t>
  </si>
  <si>
    <t>Frequent Air India users</t>
  </si>
  <si>
    <t>Get 4 Reward points for every Rs. 100 spent.
Get up to 1,00,000 bonus Reward points annually
Convert your Reward points into Air India miles. 1 Reward point is equal to 1 Air India Air mile</t>
  </si>
  <si>
    <t>Avg value per point = 60-80 ps, 6% on Air india tkts for others, 18% on tkts for ourself</t>
  </si>
  <si>
    <t>Base return: 2.4% (AirMiles). All categories will accrue reward points and be considered for milestones</t>
  </si>
  <si>
    <t>SBI PULSE</t>
  </si>
  <si>
    <t>Enjoy 1 year complimentary FITPASS PRO Membership, to be received every year, on card renewal Enjoy 1 year complimentary Netmeds First Membership, to be received every year, on card renewal, Enjoy 10 Reward Points per Rs. 100 spent on Chemist, Pharmacy, Sports, Dining and Movies spends
Earn 2 Reward Points per Rs.100 spent on all your other spends</t>
  </si>
  <si>
    <t>Health &amp; Lifestyle</t>
  </si>
  <si>
    <t>2.5% - Chemist, Pharmacy, Sports, Dining and Movies spends 0.5% on all other spends, redeem RP for paying CC Bill</t>
  </si>
  <si>
    <t>2 free Tkts upto 250 each per month on BMS</t>
  </si>
  <si>
    <t>Lifestyle</t>
  </si>
  <si>
    <t>Provides good Lifestyle benefits but very bad reward rate considering it's fee</t>
  </si>
  <si>
    <r>
      <t xml:space="preserve">There are some issues with the SBI Air India Signature Credit Card, including miles transfer problems and other concerns, but it's still a good choice for those who frequently travel with Air India. </t>
    </r>
    <r>
      <rPr>
        <sz val="11"/>
        <color rgb="FFFF0000"/>
        <rFont val="Calibri"/>
        <family val="2"/>
        <scheme val="minor"/>
      </rPr>
      <t>**This card is currently discontinued by SBI card**</t>
    </r>
  </si>
  <si>
    <t xml:space="preserve"> Consider this card only for UPI and it is useful for SBI card offers during sales and we can use this card for UPI Payments as well.</t>
  </si>
  <si>
    <t>ICICI Bank</t>
  </si>
  <si>
    <t>IDFC First Bank</t>
  </si>
  <si>
    <t>Mayura</t>
  </si>
  <si>
    <t>Ashva</t>
  </si>
  <si>
    <t>WOW</t>
  </si>
  <si>
    <t xml:space="preserve"> Millennia</t>
  </si>
  <si>
    <t>classic</t>
  </si>
  <si>
    <t>Select</t>
  </si>
  <si>
    <t>wealth</t>
  </si>
  <si>
    <t>SWYP</t>
  </si>
  <si>
    <t>Power +</t>
  </si>
  <si>
    <t xml:space="preserve"> BOGO upto 400 on movies tkts on BMS twice a month</t>
  </si>
  <si>
    <t>4 Per Quarter (Lounge or SPA)</t>
  </si>
  <si>
    <r>
      <t>2 per Quarter</t>
    </r>
    <r>
      <rPr>
        <sz val="11"/>
        <color rgb="FFFF0000"/>
        <rFont val="Calibri"/>
        <family val="2"/>
        <scheme val="minor"/>
      </rPr>
      <t>(Min spends 20k)</t>
    </r>
  </si>
  <si>
    <t>20000 in preceding quarter</t>
  </si>
  <si>
    <t xml:space="preserve"> BOGO upto 500 on movies tkts on BMS twice a month</t>
  </si>
  <si>
    <r>
      <t>4 Per Quarter (Lounge or SPA)</t>
    </r>
    <r>
      <rPr>
        <sz val="11"/>
        <color rgb="FF00B050"/>
        <rFont val="Calibri"/>
        <family val="2"/>
        <scheme val="minor"/>
      </rPr>
      <t xml:space="preserve"> Incl 1 Guest visit</t>
    </r>
  </si>
  <si>
    <r>
      <t>4 per Quarter</t>
    </r>
    <r>
      <rPr>
        <sz val="11"/>
        <color rgb="FFFF0000"/>
        <rFont val="Calibri"/>
        <family val="2"/>
        <scheme val="minor"/>
      </rPr>
      <t>(Min spends 20k)</t>
    </r>
  </si>
  <si>
    <t>Reward</t>
  </si>
  <si>
    <t xml:space="preserve"> above 20k:1.66%, below 20k: 0.83%</t>
  </si>
  <si>
    <t xml:space="preserve"> upto 1.66%</t>
  </si>
  <si>
    <t>upto 0.48%</t>
  </si>
  <si>
    <t xml:space="preserve"> BOGO upto 125 on movies tkts on District twice a month</t>
  </si>
  <si>
    <t xml:space="preserve"> BOGO upto 250 on movies tkts onDistrict twice a month</t>
  </si>
  <si>
    <t>2 Per Quarter</t>
  </si>
  <si>
    <t>occasional Offers</t>
  </si>
  <si>
    <t>2 Per Quarter (Lounge or SPA)</t>
  </si>
  <si>
    <t>Welcome &amp; Renewal Benefits, Trip cancellation cover, Golf benefits, 10X RP per 150 spent for monthly spends above 20k and on ur birthday month, 5X on Rent, govt, wallet load, Educ  1X on utility and Insurance</t>
  </si>
  <si>
    <t>welcome benefits, Golf, interest free cash withdrawl,  10X RP per 150 spent for monthly spends above 20k and on ur birthday month, 3X RP below 20k spends, 1X RP on utility &amp; Insurance</t>
  </si>
  <si>
    <t xml:space="preserve"> BOGO upto 100 on movies tkts on District once a month</t>
  </si>
  <si>
    <t xml:space="preserve"> above 20k:1.66%, below 20k: 0.5%</t>
  </si>
  <si>
    <t xml:space="preserve">Credit card against FD of min 20k, 0% Forex markup Fee, </t>
  </si>
  <si>
    <t xml:space="preserve">Food &amp; Dining </t>
  </si>
  <si>
    <t>10% off upto 100 on zomato twice  a month</t>
  </si>
  <si>
    <t>welcome Benefits, assured offeres on sel merchants throughout the year, 200 RP on 5k, 300 RP on 10k and 1000 RP on 15k spends in a billing cycle, 400 RP on rent payments of at least 20k per month</t>
  </si>
  <si>
    <t>upto 1.67%</t>
  </si>
  <si>
    <t>Nothing</t>
  </si>
  <si>
    <t>welcome Benefits, Road side asst, interest free cash withdrawls, Earn 5% Reward Point on expenses of up to ₹12,000 every month, plus earn 1.5% value back as HP Happy Coins if used via HP Pay app, (incl UPI Txns)
UPI transactions will earn 3X Reward Points across all categories, 5% on Grocery and utility payments
2.5% savings as Rewards on IDFC FIRST FASTag recharge
2X Rewards on other retail transactions</t>
  </si>
  <si>
    <t>***I've included most of the IDFC credit cards and excluded some basic UPI cards. Around 7-8 IDFC cards are LTF with good lifestyle benefits, but there are a few recommendations from this list.***</t>
  </si>
  <si>
    <t>BOB Card</t>
  </si>
  <si>
    <t>BOB ETERNA</t>
  </si>
  <si>
    <t>BOB PREMIER</t>
  </si>
  <si>
    <t>BOB Select</t>
  </si>
  <si>
    <t>BOB HPCL Energie</t>
  </si>
  <si>
    <t>BOB Snapdeal Rupay</t>
  </si>
  <si>
    <t>BOB Easy</t>
  </si>
  <si>
    <t xml:space="preserve"> 1 per Quarter</t>
  </si>
  <si>
    <t>Occasional Use</t>
  </si>
  <si>
    <t>10X RP per Rs.100 on on Travel, Dining &amp; International Txns, 1 RP on all other eligible Txns , UPI</t>
  </si>
  <si>
    <t>10X RP Capped at 2000 RP/ month</t>
  </si>
  <si>
    <t>5X RP Capped at 1000 RP/ month</t>
  </si>
  <si>
    <t>5X RP per Rs. 100 on Dining &amp; Online Txns, 2 RP on all other eligible Txns , UPI</t>
  </si>
  <si>
    <t>0.2% Base Return</t>
  </si>
  <si>
    <t>10 RP per Rs.100 on on Grocery, Dept stores &amp; Online shopping, 4 RP on all other eligible Txns , UPI, 20 RP On snapdeal</t>
  </si>
  <si>
    <t>12X RP on HPCL Fuel stations &amp; HP pay Appevery month, plus earn 1.5% value back as HP Happy Coins if used via HP Pay app, (incl UPI Txns)
UPI transactions will earn 2 RP across all categories, 5X RP on Grocery and utility payments and Dept stores
2 RP Per Rs.150 Spent on other eligible Txns on other retail transactions 1 RP = 0.25ps</t>
  </si>
  <si>
    <t xml:space="preserve"> No capping</t>
  </si>
  <si>
    <t>0.33% to 1.67%</t>
  </si>
  <si>
    <t>4%+ 1% Fuel surcharge waiver</t>
  </si>
  <si>
    <t xml:space="preserve"> BOGO upto 250 on movies tkts onDistrict once a month</t>
  </si>
  <si>
    <t>BOB TIARA Rupay</t>
  </si>
  <si>
    <t>₹40,000 in the previous 3 calendar months required for domestic lounge access.</t>
  </si>
  <si>
    <t>Women</t>
  </si>
  <si>
    <t>Quarterly Discounts and memberships for women,5X RP per Rs. 100 spent on dining, Travel &amp; International spends, 3 RP per 100 spent on other categories</t>
  </si>
  <si>
    <t>5X RP Capped at 5000 RP/ month, upto Rs.500 savings on UPI</t>
  </si>
  <si>
    <t>Memberships / Rewards</t>
  </si>
  <si>
    <t>₹20,000 in the previous 3 calendar months required for domestic lounge access.</t>
  </si>
  <si>
    <t xml:space="preserve">Specially designed for Women but it's not a great card though there r better alternatives </t>
  </si>
  <si>
    <t>Consider BOB premier if LTF</t>
  </si>
  <si>
    <t>***No BoB credit card is left in the race. If you still want a card from BoB, consider the Snapdeal BoB card or any LTF card.***</t>
  </si>
  <si>
    <t>HSBC TravelOne</t>
  </si>
  <si>
    <t>HSBC Ptemier</t>
  </si>
  <si>
    <t>HSBC VISA platinum</t>
  </si>
  <si>
    <t>HSBC Live +</t>
  </si>
  <si>
    <t>HSBC</t>
  </si>
  <si>
    <t>Base RR</t>
  </si>
  <si>
    <t>Joining Fee Incl GST</t>
  </si>
  <si>
    <t>Annual Fee Incl GST</t>
  </si>
  <si>
    <t>30% Off on zomato min order of 200 twice a month</t>
  </si>
  <si>
    <t>₹ 2 Lakh</t>
  </si>
  <si>
    <t>₹ 8 Lakhs</t>
  </si>
  <si>
    <t>₹ 1.5 Lakhs</t>
  </si>
  <si>
    <t>₹ 0.8 Lakh</t>
  </si>
  <si>
    <t>₹ 5 Lakh</t>
  </si>
  <si>
    <t>₹ 1 Lakh</t>
  </si>
  <si>
    <t>₹ 1179 / LTF</t>
  </si>
  <si>
    <t>₹ 353 / LTF</t>
  </si>
  <si>
    <t>Offline Spends: 4 Reward Points per ₹100 spent.
Online Spends: 8 Reward Points per ₹100 spent.
International Spends: 12 Reward Points per ₹100 spent. Monthly Bonus: 500 bonus Reward Points for spending ₹5,000 or more within the first 5 days of a month.
Annual Bonus: 5,000 bonus Reward Points for spending ₹2.5 lakhs or more in the previous anniversary year.</t>
  </si>
  <si>
    <t>2.00%: without Bonus, 4.5%: with Bonus</t>
  </si>
  <si>
    <t>1%: without Bonus, 3.5%: with Bonus</t>
  </si>
  <si>
    <r>
      <rPr>
        <sz val="11"/>
        <color rgb="FFFF0000"/>
        <rFont val="Segoe UI"/>
        <family val="2"/>
      </rPr>
      <t>No Cashback: below ₹7,500 in a statement cycle.</t>
    </r>
    <r>
      <rPr>
        <sz val="11"/>
        <color rgb="FF1C1C1C"/>
        <rFont val="Segoe UI"/>
        <family val="2"/>
      </rPr>
      <t xml:space="preserve">
1% Cashback: above ₹7,500 but are less than ₹12,500.
2% Cashback: above ₹12,500 but are less than ₹20,000.
3% Cashback: above ₹20,000.</t>
    </r>
  </si>
  <si>
    <t>1%: above ₹7,500</t>
  </si>
  <si>
    <t xml:space="preserve"> All Spends: 2 Reward Points per ₹100 spent on all retail purchases.
Bonus Categories: 15 Reward Points per ₹100 spent on groceries, departmental stores, movies, and dining.
Monthly Bonus: Double Reward Points (4 per ₹100) on all retail spends made between the 1st and 5th of each month.</t>
  </si>
  <si>
    <t>0.50% to 1.00%</t>
  </si>
  <si>
    <t>7.5%: 1st five days of month, 3.75%: other days</t>
  </si>
  <si>
    <t>upto 1.00%</t>
  </si>
  <si>
    <t>AU Spont</t>
  </si>
  <si>
    <t>1% cashback on All spends</t>
  </si>
  <si>
    <t>Coins</t>
  </si>
  <si>
    <t>The discounts on ixigo bookings are capped at ₹1,000 for flights and hotels and ₹300 for buses, and can be availed only once a month.</t>
  </si>
  <si>
    <t>0.625% / 1.25%</t>
  </si>
  <si>
    <t>Grocery &amp; Departmental Stores: 4 RP per ₹100 spent.
All Other Spends: 2 RP per ₹100 spent.
Utility Bill Payments: 10 RP per ₹100 spent, 500 bonus RP on spends of ₹50,000 in a calendar quarter.
Additional 1,000 bonus RP on spends of ₹1 lakh in a calendar quarter.</t>
  </si>
  <si>
    <t>Utility Bills</t>
  </si>
  <si>
    <t>depends on ur plan</t>
  </si>
  <si>
    <t>It's a Flexible card, consider this card if you Prefer to pay only for the features you use</t>
  </si>
  <si>
    <t>3% (stmt credit)</t>
  </si>
  <si>
    <t xml:space="preserve">3.75% if the milestone is achieved </t>
  </si>
  <si>
    <t>LTF for existing Customers, ₹ 590 for new</t>
  </si>
  <si>
    <t>₹ 10 Lakh</t>
  </si>
  <si>
    <t>if paid: ₹ 1.5 Lakh</t>
  </si>
  <si>
    <t>SBI BPCL Octane</t>
  </si>
  <si>
    <t>5X RP on Dining, Departmental stores and Grocery Spends
2 RP per Rs. 100 on all other spends, except fuel, welcome benefits, Milestone benefits, Some Membership</t>
  </si>
  <si>
    <t>6 per year using PP (Max 2 per Quarter)</t>
  </si>
  <si>
    <t>2.5% (4.25% on spending around 5L on Grocery, dining etc)</t>
  </si>
  <si>
    <t xml:space="preserve"> above 20k:1.66%, below 20k: 0.83%   </t>
  </si>
  <si>
    <t>above 20k:1.66%, below 20k: 0.83%</t>
  </si>
  <si>
    <t>0.16% 99+ GST for Reward Redemption</t>
  </si>
  <si>
    <r>
      <t xml:space="preserve">0.5% </t>
    </r>
    <r>
      <rPr>
        <sz val="11"/>
        <color rgb="FFFF0000"/>
        <rFont val="Calibri"/>
        <family val="2"/>
        <scheme val="minor"/>
      </rPr>
      <t>99+ GST for Reward Redemption</t>
    </r>
  </si>
  <si>
    <t xml:space="preserve"> above 20k:1.66%, below 20k: 0.5%   </t>
  </si>
  <si>
    <t>Consider this card for Building your credit score and For forex charges</t>
  </si>
  <si>
    <t xml:space="preserve">₹ 1.5 Lakh </t>
  </si>
  <si>
    <r>
      <rPr>
        <sz val="11"/>
        <color theme="1"/>
        <rFont val="Calibri"/>
        <family val="2"/>
        <scheme val="minor"/>
      </rPr>
      <t>Max Return : 1.67% , Min Return: 1%, 0% Return for spends below 5k and 0.5% Return for spends above 20k,</t>
    </r>
    <r>
      <rPr>
        <sz val="11"/>
        <color rgb="FFFF0000"/>
        <rFont val="Calibri"/>
        <family val="2"/>
        <scheme val="minor"/>
      </rPr>
      <t xml:space="preserve"> </t>
    </r>
  </si>
  <si>
    <t xml:space="preserve">Max Return : 1.67% , Min Return: 1%, 0% Return for spends below 5k and 0.5% Return for spends above 20k, </t>
  </si>
  <si>
    <t>₹2.5 Lakh</t>
  </si>
  <si>
    <t>₹1 Lakh</t>
  </si>
  <si>
    <t>1180 / LTF</t>
  </si>
  <si>
    <t>₹1180 / LTF</t>
  </si>
  <si>
    <t>₹885 / LTF</t>
  </si>
  <si>
    <t>294 / LTF</t>
  </si>
  <si>
    <t>₹294 / LTF</t>
  </si>
  <si>
    <t>15 RP per ₹100 spent (5X rewards) ON Dining, 
Travel &amp; International Spends, 
Online Shopping
All Other Categories: 3 RP per ₹100 spent</t>
  </si>
  <si>
    <t>5X RP Capped at 5000 RP per month</t>
  </si>
  <si>
    <t>BPCL Fuel, Lubricants, and Bharat Gas (online): 25 RP per ₹100 spent
Dining, Departmental Stores, Grocery, and Movies: 10 RP per ₹100 spent
All Other Spends (except wallet uploads and non-BPCL fuel): 1 RP per ₹100 spent</t>
  </si>
  <si>
    <t>₹2 Lakh</t>
  </si>
  <si>
    <t xml:space="preserve"> A cap of 2,500 RP for BPCL fuel txns is Applicable.</t>
  </si>
  <si>
    <t>Fuel at BPCL outlets</t>
  </si>
  <si>
    <t>₹590 / LTF</t>
  </si>
  <si>
    <t>Fuel at HPCL Outlets</t>
  </si>
  <si>
    <t>Fuel at HPCL  &amp; Grocery &amp; utility payments</t>
  </si>
  <si>
    <t>₹8 Lakh</t>
  </si>
  <si>
    <t>6 per year</t>
  </si>
  <si>
    <t>4 per year</t>
  </si>
  <si>
    <t>2 tkts for 1 upto ₹200 twice a month</t>
  </si>
  <si>
    <t>10% off on Zomato</t>
  </si>
  <si>
    <t>Welcome Benefits, Milestone Benefits, discounts on sel merchants, 4 RP per ₹100 spent on Travel &amp; Flights, Forex spends,  2 RP on all other spends</t>
  </si>
  <si>
    <t>50000 RP per month upper cap</t>
  </si>
  <si>
    <t>RP Transfer ratio is good and possible return is around 4% to20% depending on redemption methods</t>
  </si>
  <si>
    <t>BOGO up to ₹750 on weekdays through BMS, Twice a month</t>
  </si>
  <si>
    <t>unlimited with 8 free Guest visits</t>
  </si>
  <si>
    <t>30% off up to ₹1250 on min Txn of ₹2500 through EZD</t>
  </si>
  <si>
    <t xml:space="preserve">Welcome Benefits, Milestone Benefits, 3 RP on ₹100 spent </t>
  </si>
  <si>
    <t>No Capping</t>
  </si>
  <si>
    <t>up to 3%</t>
  </si>
  <si>
    <t xml:space="preserve"> Lifestyle</t>
  </si>
  <si>
    <t>Offline, Grocery &amp; dining</t>
  </si>
  <si>
    <t>BOGO up to ₹250 on weekdays through BMS, once a month</t>
  </si>
  <si>
    <t xml:space="preserve"> 5X category: MAX 15000 RP in a year </t>
  </si>
  <si>
    <t>5X (10 RP per Rs. 150) after ₹4 lakh spends, 2 RP on all other categories.</t>
  </si>
  <si>
    <t>0.67% for AirMiles</t>
  </si>
  <si>
    <t>0.27% to 0.47%</t>
  </si>
  <si>
    <t>upto 0.67%</t>
  </si>
  <si>
    <t>You can use this card for HSBC occasional offers</t>
  </si>
  <si>
    <t>10% off online &amp; Offline</t>
  </si>
  <si>
    <t>10% category: up to ₹1000 per billing cycle</t>
  </si>
  <si>
    <t>Welcome Benefits, 10% off on Grocery, Food delivery, dining, 1.5% unlimited cashback on other spends</t>
  </si>
  <si>
    <t xml:space="preserve">standard chartered </t>
  </si>
  <si>
    <t>SC Ultimate</t>
  </si>
  <si>
    <t>SC EaseMyTrip</t>
  </si>
  <si>
    <t>SC smart</t>
  </si>
  <si>
    <t>SC rewards</t>
  </si>
  <si>
    <t>***HSBC issues a very limited number of credit cards, and that too only in specific locations. Based on my analysis, only the HSBC Live+ card seems good. You may also consider the HSBC Visa Platinum credit card for HSBC instant discount offers.***</t>
  </si>
  <si>
    <t>₹20,000 in the previous 3 calendar months required for  International lounge access.</t>
  </si>
  <si>
    <r>
      <t xml:space="preserve">50% off on 2 tkts upto ₹500 </t>
    </r>
    <r>
      <rPr>
        <sz val="11"/>
        <color rgb="FFFF0000"/>
        <rFont val="Calibri"/>
        <family val="2"/>
        <scheme val="minor"/>
      </rPr>
      <t>(Limited Quota)</t>
    </r>
  </si>
  <si>
    <r>
      <t>1 Per Month using PP</t>
    </r>
    <r>
      <rPr>
        <sz val="11"/>
        <color rgb="FFFF0000"/>
        <rFont val="Calibri"/>
        <family val="2"/>
        <scheme val="minor"/>
      </rPr>
      <t>(Min 20k spends Req)</t>
    </r>
  </si>
  <si>
    <r>
      <t xml:space="preserve">3.3% </t>
    </r>
    <r>
      <rPr>
        <sz val="11"/>
        <color rgb="FFFFC000"/>
        <rFont val="Calibri"/>
        <family val="2"/>
        <scheme val="minor"/>
      </rPr>
      <t>in the form of vouchers</t>
    </r>
  </si>
  <si>
    <r>
      <t xml:space="preserve"> upto 3%</t>
    </r>
    <r>
      <rPr>
        <sz val="11"/>
        <color rgb="FFFFC000"/>
        <rFont val="Calibri"/>
        <family val="2"/>
        <scheme val="minor"/>
      </rPr>
      <t xml:space="preserve"> in Travel form</t>
    </r>
  </si>
  <si>
    <r>
      <t xml:space="preserve">3.3% </t>
    </r>
    <r>
      <rPr>
        <sz val="11"/>
        <color rgb="FFFF0000"/>
        <rFont val="Calibri"/>
        <family val="2"/>
        <scheme val="minor"/>
      </rPr>
      <t>99+ GST for Reward Redemption</t>
    </r>
  </si>
  <si>
    <t>Rent, wallet loads / Govt services</t>
  </si>
  <si>
    <t>Hotels: maximum discount of ₹5,000 and ₹10,000 respectively, Flights: maximum discount of ₹1,000 and ₹5,000 respectively</t>
  </si>
  <si>
    <t>20% off on domestic and international hotel bookings, 10% off on domestic and international flight bookings, ₹125 off on bus ticket bookings, 10 RP per ₹100 spent at standalone hotel and airline websites/apps/outlets.
2 RP per ₹100 spent on all other retail purchases, including those made on EaseMyTrip.</t>
  </si>
  <si>
    <t>upto 25% through EaseMyTrip App/website, 2.5% on booking Flights &amp; hotels through other Apps / Websites</t>
  </si>
  <si>
    <r>
      <t xml:space="preserve">0.5% </t>
    </r>
    <r>
      <rPr>
        <sz val="11"/>
        <color rgb="FFFFC000"/>
        <rFont val="Calibri"/>
        <family val="2"/>
        <scheme val="minor"/>
      </rPr>
      <t>in the form of vouchers</t>
    </r>
  </si>
  <si>
    <t>2 per year</t>
  </si>
  <si>
    <t>Recommended to people who use EMT for travel</t>
  </si>
  <si>
    <t>₹1.2 Lakh</t>
  </si>
  <si>
    <t>Online Spends: 2% cashback on all online transactions,
Offline Spends: 1% cashback on all offline transactions (except fuel, ).</t>
  </si>
  <si>
    <t>Online : capped at ₹1,000 per month, Offline: capped at ₹500 per month</t>
  </si>
  <si>
    <t>Online: 2%, Offline: 1%</t>
  </si>
  <si>
    <t>Utility, Insurance &amp; all other Govt services</t>
  </si>
  <si>
    <t>SC Platinum rewards</t>
  </si>
  <si>
    <r>
      <t xml:space="preserve">1% </t>
    </r>
    <r>
      <rPr>
        <sz val="11"/>
        <color rgb="FFFF0000"/>
        <rFont val="Calibri"/>
        <family val="2"/>
        <scheme val="minor"/>
      </rPr>
      <t>99+ GST for Reward Redemption</t>
    </r>
  </si>
  <si>
    <t>it's one of the best cards for Most of the Excluded categories, it comes with low Annual fee</t>
  </si>
  <si>
    <t>₹1.5 Lakh</t>
  </si>
  <si>
    <t>max. 2000 bonus reward points per statement cycle</t>
  </si>
  <si>
    <t>4 RP per ₹150 spent on all categories, welcome &amp; Renewal Benefits, Additional 4 RP per ₹150 on monthly Retail spends* above INR ₹20,000 , 4 RP per ₹150 spent on Govt &amp; Insurance</t>
  </si>
  <si>
    <t>up to 2%</t>
  </si>
  <si>
    <t>Up to 2%</t>
  </si>
  <si>
    <t>Spend of Rs 500 or more within 30 days from card issuance to avoid levy of onetime fee of INR 250 + GST</t>
  </si>
  <si>
    <t>5 RP per Rs. 150 on dining and Fuel, 1 RP on all other spends</t>
  </si>
  <si>
    <t>You can use this card for SC occasional offers</t>
  </si>
  <si>
    <t>***The USP of Standard Chartered (SC) credit cards is that they provide value back for most categories excluded by other banks. So, it's good to apply for the Smart or Ultimate credit card, and the rewards can be redeemed through the SC 360° Rewards program.***</t>
  </si>
  <si>
    <r>
      <t xml:space="preserve">0.25% </t>
    </r>
    <r>
      <rPr>
        <sz val="11"/>
        <color rgb="FFFF0000"/>
        <rFont val="Calibri"/>
        <family val="2"/>
        <scheme val="minor"/>
      </rPr>
      <t>99+ GST for Reward Redemption</t>
    </r>
  </si>
  <si>
    <t>HDFC Bank</t>
  </si>
  <si>
    <t>HDFC MoneyBack +</t>
  </si>
  <si>
    <t>HDFC Millennia</t>
  </si>
  <si>
    <t>HDFC Regalia Gold</t>
  </si>
  <si>
    <t>HDFC INFINIA METAL</t>
  </si>
  <si>
    <t>HDFC DCB METAL</t>
  </si>
  <si>
    <t>HDFC Diner Club Privilege</t>
  </si>
  <si>
    <t>HDFC Core Credit cards</t>
  </si>
  <si>
    <t>HDFC Co-Branded Credit cards</t>
  </si>
  <si>
    <t>HDFC Swiggy</t>
  </si>
  <si>
    <t>HDFC TATA Neu Infinity</t>
  </si>
  <si>
    <t>HDFC TATA Neu +</t>
  </si>
  <si>
    <t>HDFC Marriot Bonvoy</t>
  </si>
  <si>
    <t>HDFC IRCTC</t>
  </si>
  <si>
    <t>IndiGo 6E Rewards XL</t>
  </si>
  <si>
    <t>HDFC RuPay UPI</t>
  </si>
  <si>
    <t>HDFC Business Credit cards</t>
  </si>
  <si>
    <t>HDFC Biz Black Metal Edition</t>
  </si>
  <si>
    <t>₹ 10 Lakhs</t>
  </si>
  <si>
    <t>Features of the card and Reward rate</t>
  </si>
  <si>
    <t>₹4 Lakh</t>
  </si>
  <si>
    <t>Insurance: 2000 RP per day, Grocery: 2000 RP per month</t>
  </si>
  <si>
    <r>
      <t xml:space="preserve">12 per year </t>
    </r>
    <r>
      <rPr>
        <sz val="11"/>
        <color theme="4" tint="-0.249977111117893"/>
        <rFont val="Calibri"/>
        <family val="2"/>
        <scheme val="minor"/>
      </rPr>
      <t>(both at domestic and international terminals)</t>
    </r>
  </si>
  <si>
    <t>₹3 Lakh</t>
  </si>
  <si>
    <t xml:space="preserve">
1..33% (Flights/Hotels via smartbuy&amp; Airmiles conversion) the RR may further Increase if Milestones achieved
</t>
  </si>
  <si>
    <t>up to 33.33% on booking through the SmartBuy portal, up to 12% Return on Miles transfer, and 10% on Train Bookings through Smartbuy</t>
  </si>
  <si>
    <t>upto 3.33%</t>
  </si>
  <si>
    <t>Welcome and Renewal Benefits, Golf Privileges, Global Concierge Services, Complimentary Club Marriott Membership,
5 RP for every ₹150 spent on the card across all retail categories, including insurance, utilities, and education,
10X Reward Points on travel and shopping spends made through HDFC Bank's SmartBuy platform.</t>
  </si>
  <si>
    <t>4 RP for every ₹150 spent on retail purchases,
20(1X+4X) RP for every ₹150 spent on Swiggy and Zomato,
Up to 10X RP on spends via SmartBuy.</t>
  </si>
  <si>
    <t xml:space="preserve"> Additional 4X RP is capped at 2500 RP every calendar month</t>
  </si>
  <si>
    <t>up to 13.33% on booking through the SmartBuy portal, up to 6% Return on Miles transfer, and 4% on Train Bookings through Smartbuy</t>
  </si>
  <si>
    <r>
      <t xml:space="preserve">upto 13.33% via SmartBuy 1.33% (1X) other platforms
</t>
    </r>
    <r>
      <rPr>
        <sz val="11"/>
        <color theme="4" tint="-0.249977111117893"/>
        <rFont val="Calibri"/>
        <family val="2"/>
        <scheme val="minor"/>
      </rPr>
      <t>(1 RP = 0.5ps)</t>
    </r>
    <r>
      <rPr>
        <sz val="11"/>
        <color theme="1"/>
        <rFont val="Calibri"/>
        <family val="2"/>
        <scheme val="minor"/>
      </rPr>
      <t xml:space="preserve">
</t>
    </r>
  </si>
  <si>
    <t xml:space="preserve">up to 33.33% via SmartBuy up to 16.66%: Gift vouchers, products via SmartBuy
upto 3.33%: other online shopping sites / Apps
</t>
  </si>
  <si>
    <t>up to 1.33%</t>
  </si>
  <si>
    <t>BOGO upto ₹250 on weekends on MBS twice a month</t>
  </si>
  <si>
    <t>up to 6.66%</t>
  </si>
  <si>
    <t>Dining Catalogue</t>
  </si>
  <si>
    <t>15000 in a calendar quarter</t>
  </si>
  <si>
    <t>2 per Quarter worldwide</t>
  </si>
  <si>
    <t>CashPoints</t>
  </si>
  <si>
    <t xml:space="preserve">1.00% (Statement Credit)
3..33% (flights/hotels or Apple/Tanishq via SmartBuy)
</t>
  </si>
  <si>
    <r>
      <t xml:space="preserve">
0.53% (Statement Credit)
0.93% (SmartBuy Catalogue)
1..33% (Flights/Hotels/Dining Catalogue via smartbuy)
</t>
    </r>
    <r>
      <rPr>
        <sz val="11"/>
        <color rgb="FFFF0000"/>
        <rFont val="Calibri"/>
        <family val="2"/>
        <scheme val="minor"/>
      </rPr>
      <t>RP Redemption fee: 50+GST (stmt credit)</t>
    </r>
    <r>
      <rPr>
        <sz val="11"/>
        <color theme="1"/>
        <rFont val="Calibri"/>
        <family val="2"/>
        <scheme val="minor"/>
      </rPr>
      <t xml:space="preserve">
</t>
    </r>
  </si>
  <si>
    <r>
      <t xml:space="preserve">0.54% (Statement Credit)
0.93% (Products &amp; Vouchers via SmartBuy)
1.33% (Flights/Hotels via smart buy)
1.73% (Gold Catalog
</t>
    </r>
    <r>
      <rPr>
        <sz val="11"/>
        <color rgb="FFFF0000"/>
        <rFont val="Calibri"/>
        <family val="2"/>
        <scheme val="minor"/>
      </rPr>
      <t>RP Redemption fee: 50+GST (stmt credit)</t>
    </r>
    <r>
      <rPr>
        <sz val="11"/>
        <color theme="1"/>
        <rFont val="Calibri"/>
        <family val="2"/>
        <scheme val="minor"/>
      </rPr>
      <t xml:space="preserve">
</t>
    </r>
  </si>
  <si>
    <t>Travel &amp; Dining</t>
  </si>
  <si>
    <t>Online shopping</t>
  </si>
  <si>
    <t xml:space="preserve">5% Cashback on Amazon, BookMyShow, Cult.fit, Flipkart, Myntra, Sony LIV, Swiggy, Tata CLiQ, Uber and Zomato
1% cashback on other spends
</t>
  </si>
  <si>
    <t>up to 1000 cashpoints per month on 5% category
min 500 cashpoints required for redemption</t>
  </si>
  <si>
    <t>5% via smartbuy
1%: other sites / Apps</t>
  </si>
  <si>
    <r>
      <t xml:space="preserve">1%: (Cashback)
0.3%: (Product Catalogue, AirMiles)
</t>
    </r>
    <r>
      <rPr>
        <sz val="11"/>
        <color rgb="FFFF0000"/>
        <rFont val="Calibri"/>
        <family val="2"/>
        <scheme val="minor"/>
      </rPr>
      <t>Cashpoints Redemption fee: 50+GST (stmt credit)</t>
    </r>
  </si>
  <si>
    <t>5% on sel Partners
1% on other shopping platform</t>
  </si>
  <si>
    <t>5% off on BMS</t>
  </si>
  <si>
    <t>up to 5%</t>
  </si>
  <si>
    <r>
      <t xml:space="preserve">1 per Quarter </t>
    </r>
    <r>
      <rPr>
        <sz val="11"/>
        <color theme="4" tint="-0.249977111117893"/>
        <rFont val="Calibri"/>
        <family val="2"/>
        <scheme val="minor"/>
      </rPr>
      <t xml:space="preserve">(1 Dreamfolks voucher) </t>
    </r>
  </si>
  <si>
    <t>₹1 Lakh in a calendar quarter</t>
  </si>
  <si>
    <t xml:space="preserve">10X CashPoints (3.3% Valueback) on Amazon, Flipkart, Swiggy, Reliance Smart SuperStore &amp;  BigBasket
2 CashPoints per ₹150 spent on other spends
</t>
  </si>
  <si>
    <t>20% via swiggy dineout</t>
  </si>
  <si>
    <t xml:space="preserve">UPI payments: Max 500 RP per month </t>
  </si>
  <si>
    <t>3.33% on sel Partners
0.33% on other shopping platform</t>
  </si>
  <si>
    <t>Occasional use</t>
  </si>
  <si>
    <t>Max 500 Cashpoints per month</t>
  </si>
  <si>
    <t>3% Cashpoints on Groceries, SuperMarket &amp; Dining spends &amp; PayZapp transactions.
2% Cashpoints on Utility spends 
1% Cashpoints on other spends</t>
  </si>
  <si>
    <t>Fuel points</t>
  </si>
  <si>
    <t>5% off on your spends as Fuel Points at IndianOil outlets
5% of your spends as Fuel Points on Groceries and Bill Payments  
1 Fuel Point for every ₹150 spent on all other purchases (including UPI transactions).</t>
  </si>
  <si>
    <t xml:space="preserve"> Max 250 Fuel Points(up to Rs.5000) per month in first 6 months, Max 150 Fuel Points post(up to Rs.3000) 6 months from card issuance
Max 100 Fuel Points(up to Rs.2000) per month on Grocery and utility
</t>
  </si>
  <si>
    <t>4.5% + 1% Fuel surcharge waiver</t>
  </si>
  <si>
    <t>Fuel at IndianOil</t>
  </si>
  <si>
    <t>Neu Coins</t>
  </si>
  <si>
    <t>Neu coins</t>
  </si>
  <si>
    <t>5% back as NeuCoins on Non-EMI Spends on Tata Neu and partner Tata Brands Earn additional 5% back as NeuCoins on selected categories on Tata Neu App/Website, post downloading Tata Neu App and registering for NeuPass
1.5% back as NeuCoins on Non-Tata Brand Spends and any Merchant EMI Spends
1.5% back as NeuCoins on UPI spends (including spends on partner Tata Brands)</t>
  </si>
  <si>
    <t xml:space="preserve">Max 500 Neu coins on UPI spends per month
Max 2000 Neu coins on utility payments per month
</t>
  </si>
  <si>
    <r>
      <t xml:space="preserve">5%: Air India
1.5%: other Airlines
</t>
    </r>
    <r>
      <rPr>
        <sz val="11"/>
        <color theme="4" tint="-0.249977111117893"/>
        <rFont val="Calibri"/>
        <family val="2"/>
        <scheme val="minor"/>
      </rPr>
      <t>(1 Neu coin = ₹1)</t>
    </r>
  </si>
  <si>
    <t xml:space="preserve">upto 10%: TATA brands
1.5%: other sites/Apps
</t>
  </si>
  <si>
    <t>1.5%(0.5%: any upi App, 1.5%: TATA Neu App)</t>
  </si>
  <si>
    <t>5%: TATA Pay
1.5%: other platforms</t>
  </si>
  <si>
    <t>10%: TATA Brands
1.5%: others</t>
  </si>
  <si>
    <t>TATA Enterprises &amp; UPI, Offline Txns</t>
  </si>
  <si>
    <t xml:space="preserve">Max 500 Neu coins on UPI spends per month
Max 2000 Neu coins on utility payments per month
Max 1000 Neu coins on Grocery  per month
</t>
  </si>
  <si>
    <t>2% back as NeuCoins on Non-EMI Spends on Tata Neu and partner Tata Brands.
1% back as NeuCoins on Non-Tata Brand Spends and any Merchant EMI Spends 
1% back as NeuCoins on UPI spends (including spends on partner Tata Brands)</t>
  </si>
  <si>
    <r>
      <t xml:space="preserve">2%: Air India
1%: other Airlines
</t>
    </r>
    <r>
      <rPr>
        <sz val="11"/>
        <color theme="4" tint="-0.249977111117893"/>
        <rFont val="Calibri"/>
        <family val="2"/>
        <scheme val="minor"/>
      </rPr>
      <t>(1 Neu coin = ₹1)</t>
    </r>
  </si>
  <si>
    <t xml:space="preserve">upto 7%: TATA brands
1%: other sites/Apps
</t>
  </si>
  <si>
    <t>5%: TATA Pay
1%: other platforms</t>
  </si>
  <si>
    <t>1%(0.25%: any upi App, 1%: TATA Neu App)</t>
  </si>
  <si>
    <t>7%: TATA Brands
1%: others</t>
  </si>
  <si>
    <t>10% cashback on all Swiggy app transactions
5% cashback on online purchases across various categories like shopping, travel, and entertainment.
1% cashback on all other spends, including offline transactions.</t>
  </si>
  <si>
    <t>10%, 5%: up to ₹1500 per month
1%: ₹500 per month</t>
  </si>
  <si>
    <t>10% via swiggy</t>
  </si>
  <si>
    <t>Online shopping &amp; Food, dining, Grocery</t>
  </si>
  <si>
    <t xml:space="preserve">
Marriott Bonvoy Points</t>
  </si>
  <si>
    <t xml:space="preserve">Welcome &amp; Renewal Benefits, Complimentary Marriott Bonvoy Silver Elite Status, Golf privileges,
8 Marriott Bonvoy Points per Rs. 150 spent at hotels participating in Marriott Bonvoy
4 Marriott Bonvoy Points per Rs. 150 spent on travel, dining &amp; entertainment
2 Marriott Bonvoy Points per Rs. 150 spent on all other applicable purchases*
</t>
  </si>
  <si>
    <t>12 per year (both at domestic and international terminals)</t>
  </si>
  <si>
    <t>12 per year</t>
  </si>
  <si>
    <t>Mariot properties &amp; welcome &amp; Renewal benefits</t>
  </si>
  <si>
    <t>t is ideal for those who frequently stay at Marriott properties and value travel perks, Consider this card for Lounge and welcome &amp; Renewal benefits that it offers</t>
  </si>
  <si>
    <r>
      <t xml:space="preserve">1.33%: Travel spends
2.68%: Mariot spends
4 to 5%: incl stay vouchers
</t>
    </r>
    <r>
      <rPr>
        <sz val="11"/>
        <color theme="4" tint="-0.249977111117893"/>
        <rFont val="Calibri"/>
        <family val="2"/>
        <scheme val="minor"/>
      </rPr>
      <t>(1 MB point = Rs.0.5 to Rs.0.75)</t>
    </r>
  </si>
  <si>
    <t>Train Tkts</t>
  </si>
  <si>
    <t>5 RP for every INR 100 spent on IRCTC ticketing website and Rail Connect App
1 RP for every INR 100 spent on all other spends
Additional 5% cashback on train ticket bookings via HDFC Bank SmartBuy.
1% Transaction charges waiver on transactions done on IRCTC ticketing website and Rail Connect App</t>
  </si>
  <si>
    <r>
      <t xml:space="preserve">Max 500 RP per month on UPI spends
Max 100 RP per month on IRCTC spends
Redemption can be made only against </t>
    </r>
    <r>
      <rPr>
        <sz val="11"/>
        <color rgb="FFFF0000"/>
        <rFont val="Calibri"/>
        <family val="2"/>
        <scheme val="minor"/>
      </rPr>
      <t xml:space="preserve">70% </t>
    </r>
    <r>
      <rPr>
        <sz val="11"/>
        <color theme="1"/>
        <rFont val="Calibri"/>
        <family val="2"/>
        <scheme val="minor"/>
      </rPr>
      <t xml:space="preserve">of fare ticket amount on train ticket booking via HDFC Bank SmartBuy
</t>
    </r>
    <r>
      <rPr>
        <sz val="11"/>
        <color rgb="FFFF0000"/>
        <rFont val="Calibri"/>
        <family val="2"/>
        <scheme val="minor"/>
      </rPr>
      <t>Reward Points can be used only for redemption against I train ticket booking via HDFC Bank SmartBuy</t>
    </r>
  </si>
  <si>
    <r>
      <t xml:space="preserve">up to 10% on train tkts bookings via SmartBuy
5% via IRCTC Site / App
</t>
    </r>
    <r>
      <rPr>
        <sz val="11"/>
        <color theme="4" tint="-0.249977111117893"/>
        <rFont val="Calibri"/>
        <family val="2"/>
        <scheme val="minor"/>
      </rPr>
      <t>( 1 RP = Rs.1)</t>
    </r>
  </si>
  <si>
    <t>6E Rewards</t>
  </si>
  <si>
    <t>1 Complimentary flight ticket voucher worth INR 3,000 on completing 3 transactions
5 6E Rewards per Rs.100 Spends on flights booking on IndiGo App/Website
3 6E Rewards per Rs.100 Spends on Grocery, Dining &amp; Entertainment
2 6E Rewards per Rs.100 on all other spends</t>
  </si>
  <si>
    <t>Grocery capping of 2000 RP in a month</t>
  </si>
  <si>
    <t>Flight tkts booking via IndiGo</t>
  </si>
  <si>
    <t>5%: Indigo website / App</t>
  </si>
  <si>
    <t>Only suitable for frequent Travellers through IndiGo</t>
  </si>
  <si>
    <t>₹7.5 Lakh</t>
  </si>
  <si>
    <t>Max 1,50,000 RP can be earned in a statement cycle
10X: 10000 RP per month, Insurance: 5000 RP / day, Utility, Telecom, Grocery: 2000 RP per month,  and above 70% limit is also applicable.</t>
  </si>
  <si>
    <t xml:space="preserve">1.00% (Statement Credit)
3..33% (flights/hotels via SmartBuy)
</t>
  </si>
  <si>
    <t>*up to 33.33% on Business spends and Tax payments*</t>
  </si>
  <si>
    <t>Business Spends</t>
  </si>
  <si>
    <t xml:space="preserve">HDFC Pixel Play </t>
  </si>
  <si>
    <t>5% Cashback on choice of any two packs
- Dining &amp; Entertainment Category – BookMyShow &amp; Zomato
- Travel Category – MakeMyTrip &amp; Uber
- Grocery Category – Blinkit &amp; Reliance Smart Bazaar
- Electronics Category – Croma &amp; Reliance Digital
- Fashion Category – Nykaa &amp; Myntra
5% Cashback on Smartbuy
3% Cashback on choice of any one E-commerce merchant ​​​​​​​- Amazon or Flipkart or PayZapp 
1% Unlimited Cashback across all other spends
1% Cashback on UPI Spends (Applicable only on PIXEL RuPay Credit Card holders)
10% Cashback on Dining Spends Via PIXEL RuPay Credit Card UPI Scan &amp; Pay.</t>
  </si>
  <si>
    <t>Depends on categories chosen</t>
  </si>
  <si>
    <t>Consider these cards if LTF</t>
  </si>
  <si>
    <t>*** I've covered most of the HDFC credit cards but there r very few which are discontinued and some are not useful and I skipped all Business cards except BizBlack Metal CC***</t>
  </si>
  <si>
    <t>₹25 Lakh</t>
  </si>
  <si>
    <t>1% via AU 0101 App</t>
  </si>
  <si>
    <t>up to 0.75</t>
  </si>
  <si>
    <t>0.16% To 1.67%</t>
  </si>
  <si>
    <t>5X : upto  ₹2L spends
capping of 1.5lac on redemption</t>
  </si>
  <si>
    <r>
      <t xml:space="preserve">2% 
</t>
    </r>
    <r>
      <rPr>
        <sz val="11"/>
        <color rgb="FFFF0000"/>
        <rFont val="Calibri"/>
        <family val="2"/>
        <scheme val="minor"/>
      </rPr>
      <t>RP Redemption Charge: Rs. 99+GST</t>
    </r>
  </si>
  <si>
    <r>
      <t xml:space="preserve">1 EDGE Mile on every INR 150 spent for all other spends </t>
    </r>
    <r>
      <rPr>
        <sz val="11"/>
        <color theme="4" tint="-0.249977111117893"/>
        <rFont val="Calibri"/>
        <family val="2"/>
        <scheme val="minor"/>
      </rPr>
      <t xml:space="preserve"> (1EDGE Mile = ₹1)</t>
    </r>
    <r>
      <rPr>
        <sz val="11"/>
        <color theme="1"/>
        <rFont val="Calibri"/>
        <family val="2"/>
        <scheme val="minor"/>
      </rPr>
      <t xml:space="preserve">
6X(5X+1X-Base) EDGE Miles on every INR 150 spent at IndianOil fuel Pump
2X EDGE Miles on every INR 150 spent at Groceries and Supermarket
</t>
    </r>
  </si>
  <si>
    <t xml:space="preserve">Fuel at IndianOil </t>
  </si>
  <si>
    <t>5% cashback on Flipkart, clear trip
4% on Swiggy, Uber, PVR
1% on all other spends</t>
  </si>
  <si>
    <t>5% on cleartrip
1% others</t>
  </si>
  <si>
    <t>5% on Flipkart
1% on others</t>
  </si>
  <si>
    <r>
      <t>5% cashback on bill payments via Gpay</t>
    </r>
    <r>
      <rPr>
        <sz val="11"/>
        <color rgb="FFFF0000"/>
        <rFont val="Calibri"/>
        <family val="2"/>
        <scheme val="minor"/>
      </rPr>
      <t xml:space="preserve">(1.18% conv fee)
</t>
    </r>
    <r>
      <rPr>
        <sz val="11"/>
        <color theme="1"/>
        <rFont val="Calibri"/>
        <family val="2"/>
        <scheme val="minor"/>
      </rPr>
      <t xml:space="preserve"> 4% on food delivery &amp; rides
1.5% on all spends</t>
    </r>
  </si>
  <si>
    <t>Capped at Rs. 500 per
statement. Combined
capping for 5% &amp; 4%
1.5% unlimited</t>
  </si>
  <si>
    <t>₹3.5 Lakh</t>
  </si>
  <si>
    <t xml:space="preserve">₹250 per month on 25% Airtel cashback ₹250 per month on 10% utility bills
₹500 per month on partner merchants </t>
  </si>
  <si>
    <t>25% on Airtel prepaid, postpaid, wifi, 10% on Other Bills through Airtel thanks App</t>
  </si>
  <si>
    <r>
      <t xml:space="preserve">25% cashback on Airtel Recharge and wifi bills 10% on utility bills, Swiggy, tomato
1% on other spends
</t>
    </r>
    <r>
      <rPr>
        <sz val="11"/>
        <color rgb="FFC00000"/>
        <rFont val="Calibri"/>
        <family val="2"/>
        <scheme val="minor"/>
      </rPr>
      <t>(All Bills should be paid through Airtel thansks App)</t>
    </r>
  </si>
  <si>
    <t>0.2%
RP Redemption Charge: Rs. 99+GST</t>
  </si>
  <si>
    <t>0.1%
RP Redemption Charge: Rs. 99+GST</t>
  </si>
  <si>
    <t>₹295 / LTF</t>
  </si>
  <si>
    <t>around 7% return on Dining, Apparel, Online &amp; Offline Spends</t>
  </si>
  <si>
    <t xml:space="preserve"> utility: 100 RP Max per Txn i.e upto ₹1000 per Txn</t>
  </si>
  <si>
    <t>2.5% upto ₹1000 per Txn,
 0.5% above ₹1000</t>
  </si>
  <si>
    <t>0.5%, 
1.125% on crossing 20k spends in a month</t>
  </si>
  <si>
    <t>0.5%
1.125% on crossing ₹ 20k spends in a month</t>
  </si>
  <si>
    <t>0.5%
1.125% on crossing ₹20k spends in a month</t>
  </si>
  <si>
    <t>10% on Flight, Bus &amp; Hotel., PG charges waived twice per month on train bookings, 20 RP per ₹200 spent on train bookings via ixigo
10 RP per ₹200 spent on online purchases
5 RP per ₹200 spent on offline purchases</t>
  </si>
  <si>
    <r>
      <t xml:space="preserve">0.625% 
</t>
    </r>
    <r>
      <rPr>
        <sz val="11"/>
        <color rgb="FFFF0000"/>
        <rFont val="Calibri"/>
        <family val="2"/>
        <scheme val="minor"/>
      </rPr>
      <t>RP</t>
    </r>
    <r>
      <rPr>
        <sz val="11"/>
        <color theme="1"/>
        <rFont val="Calibri"/>
        <family val="2"/>
        <scheme val="minor"/>
      </rPr>
      <t xml:space="preserve"> </t>
    </r>
    <r>
      <rPr>
        <sz val="11"/>
        <color rgb="FFFF0000"/>
        <rFont val="Calibri"/>
        <family val="2"/>
        <scheme val="minor"/>
      </rPr>
      <t>Redemption fee: ₹ 99+GST</t>
    </r>
  </si>
  <si>
    <t>Travel (only valid on ixigo platform) &amp; Online Internation Txns</t>
  </si>
  <si>
    <r>
      <t xml:space="preserve">10% using the Ixigo App/website
1.25% on other sites/Apps
2.5% on train bookings via Ixigo
1.25% on other sites/Apps
</t>
    </r>
    <r>
      <rPr>
        <sz val="11"/>
        <color theme="4" tint="-0.249977111117893"/>
        <rFont val="Calibri"/>
        <family val="2"/>
        <scheme val="minor"/>
      </rPr>
      <t>(1 RP = 0.25ps)</t>
    </r>
    <r>
      <rPr>
        <sz val="11"/>
        <color theme="1"/>
        <rFont val="Calibri"/>
        <family val="2"/>
        <scheme val="minor"/>
      </rPr>
      <t xml:space="preserve">
</t>
    </r>
  </si>
  <si>
    <r>
      <t xml:space="preserve">0.5% 
</t>
    </r>
    <r>
      <rPr>
        <sz val="11"/>
        <color rgb="FFFF0000"/>
        <rFont val="Calibri"/>
        <family val="2"/>
        <scheme val="minor"/>
      </rPr>
      <t>RP Redemption fee: ₹99+GST</t>
    </r>
  </si>
  <si>
    <r>
      <t xml:space="preserve">1%: without Bonus
3.5%: with Bonus 
</t>
    </r>
    <r>
      <rPr>
        <sz val="11"/>
        <color rgb="FFFF0000"/>
        <rFont val="Calibri"/>
        <family val="2"/>
        <scheme val="minor"/>
      </rPr>
      <t>RP Redemption fee: ₹ 99+GST</t>
    </r>
  </si>
  <si>
    <t>2.00%: without Bonus
4.5%: with Bonus</t>
  </si>
  <si>
    <t>1%: without Bonus
3.5%: with Bonus</t>
  </si>
  <si>
    <t xml:space="preserve"> Online Txns</t>
  </si>
  <si>
    <t>Rewards &amp; Lifestyle</t>
  </si>
  <si>
    <r>
      <t xml:space="preserve">welcome benefits, Lounge access, Milestone benefits Golf benefits
6 RP on 200 spent </t>
    </r>
    <r>
      <rPr>
        <sz val="11"/>
        <color theme="4" tint="-0.249977111117893"/>
        <rFont val="Calibri"/>
        <family val="2"/>
        <scheme val="minor"/>
      </rPr>
      <t>(1 RP = Rs.1)</t>
    </r>
  </si>
  <si>
    <t>1000 RP cap on Grocery, utility, and Education spends
5000 RP upper limit on insurance per stmt cycle</t>
  </si>
  <si>
    <r>
      <t xml:space="preserve">Unlimited, </t>
    </r>
    <r>
      <rPr>
        <sz val="11"/>
        <color rgb="FF00B050"/>
        <rFont val="Calibri"/>
        <family val="2"/>
        <scheme val="minor"/>
      </rPr>
      <t>can avail lounge access within india using PP</t>
    </r>
  </si>
  <si>
    <t>welcome benefits, 
5% on Amazon shopping, 
2% on utility bill payments via Amazon and it's partner brands, 
1% unlimited cashback on other spends</t>
  </si>
  <si>
    <t>5%: Flight &amp; Hotel bookings through Amazon, 
1% other platforms</t>
  </si>
  <si>
    <t>5% on Amazon for prime membs and 3% for non prime mebs
1% on other sites/Apps</t>
  </si>
  <si>
    <r>
      <t xml:space="preserve">2% through Amazon pay,
 1% through other platforms upto 50k free </t>
    </r>
    <r>
      <rPr>
        <sz val="11"/>
        <color rgb="FFFF0000"/>
        <rFont val="Calibri"/>
        <family val="2"/>
        <scheme val="minor"/>
      </rPr>
      <t>above 50k 1% Fee Applicable</t>
    </r>
  </si>
  <si>
    <t>5% - Amzon Fresh, 
1% other platforms</t>
  </si>
  <si>
    <t>5% cashback on online spends without any merchant restrictions, 
1% on offline spends</t>
  </si>
  <si>
    <t>5%: online
1% offline</t>
  </si>
  <si>
    <r>
      <t xml:space="preserve">10X RP on online spends with exclusive partners
5X reward points on all other online spend,
1 RP per Rs.100 on offline spends, Milestone benefits, </t>
    </r>
    <r>
      <rPr>
        <sz val="11"/>
        <color rgb="FF00B050"/>
        <rFont val="Calibri"/>
        <family val="2"/>
        <scheme val="minor"/>
      </rPr>
      <t>1.25% to 4.5% if we spend on partner brands and achieve milestones</t>
    </r>
  </si>
  <si>
    <r>
      <t xml:space="preserve">0.33% 
</t>
    </r>
    <r>
      <rPr>
        <sz val="11"/>
        <color rgb="FFFF0000"/>
        <rFont val="Calibri"/>
        <family val="2"/>
        <scheme val="minor"/>
      </rPr>
      <t>Cashpoints Redemption fee: 50+GST (stmt credit)</t>
    </r>
  </si>
  <si>
    <r>
      <t xml:space="preserve">0.25% 
</t>
    </r>
    <r>
      <rPr>
        <sz val="11"/>
        <color rgb="FFFF0000"/>
        <rFont val="Calibri"/>
        <family val="2"/>
        <scheme val="minor"/>
      </rPr>
      <t>Cashpoints Redemption fee: 50+GST (stmt credit)</t>
    </r>
  </si>
  <si>
    <r>
      <t xml:space="preserve">0.5%
</t>
    </r>
    <r>
      <rPr>
        <sz val="11"/>
        <color rgb="FFFF0000"/>
        <rFont val="Calibri"/>
        <family val="2"/>
        <scheme val="minor"/>
      </rPr>
      <t>RP Redemption fee: ₹ 99+GST</t>
    </r>
  </si>
  <si>
    <r>
      <t xml:space="preserve">0.83% 
</t>
    </r>
    <r>
      <rPr>
        <sz val="11"/>
        <color rgb="FFFF0000"/>
        <rFont val="Calibri"/>
        <family val="2"/>
        <scheme val="minor"/>
      </rPr>
      <t>₹99+ GST for Reward Redemption</t>
    </r>
  </si>
  <si>
    <r>
      <t xml:space="preserve">0.5 
</t>
    </r>
    <r>
      <rPr>
        <sz val="11"/>
        <color rgb="FFFF0000"/>
        <rFont val="Calibri"/>
        <family val="2"/>
        <scheme val="minor"/>
      </rPr>
      <t>₹99+ GST for Reward Redemption</t>
    </r>
  </si>
  <si>
    <r>
      <rPr>
        <sz val="11"/>
        <color theme="1"/>
        <rFont val="Calibri"/>
        <family val="2"/>
        <scheme val="minor"/>
      </rPr>
      <t>1%</t>
    </r>
    <r>
      <rPr>
        <sz val="11"/>
        <color rgb="FFFF0000"/>
        <rFont val="Calibri"/>
        <family val="2"/>
        <scheme val="minor"/>
      </rPr>
      <t xml:space="preserve"> 
₹99+ GST for Reward Redemption</t>
    </r>
  </si>
  <si>
    <r>
      <t xml:space="preserve">₹23600 
</t>
    </r>
    <r>
      <rPr>
        <sz val="11"/>
        <color rgb="FF00B050"/>
        <rFont val="Calibri"/>
        <family val="2"/>
        <scheme val="minor"/>
      </rPr>
      <t>No Renewal Fee for premier customers</t>
    </r>
  </si>
  <si>
    <t>Welcome&amp; Renewal Benefits, Golf Benefit,  
5 RP per ₹150 spent on most retail purchases, 
3 RP per ₹150 spent on Utilities, Supermarkets, Insurance, Property management, Schools &amp; Government payments, 
5% Cashback: 5% cashback on duty-free spends.</t>
  </si>
  <si>
    <t>Rupay platinum</t>
  </si>
  <si>
    <t>EazyDiner Signature</t>
  </si>
  <si>
    <t>Pinnacle</t>
  </si>
  <si>
    <t>Tiger</t>
  </si>
  <si>
    <t>Celesta</t>
  </si>
  <si>
    <t>IndusInd Bank</t>
  </si>
  <si>
    <t>RBL Bank</t>
  </si>
  <si>
    <t>Kotak Mahindra Bank</t>
  </si>
  <si>
    <t>Federal Bank</t>
  </si>
  <si>
    <t xml:space="preserve">FinTech </t>
  </si>
  <si>
    <t>MARQUEE</t>
  </si>
  <si>
    <t>RESERV</t>
  </si>
  <si>
    <t>Elite +</t>
  </si>
  <si>
    <t>ACE</t>
  </si>
  <si>
    <t>YES First Business</t>
  </si>
  <si>
    <t>YES Bank</t>
  </si>
  <si>
    <t>IndianOil RBL XTRA</t>
  </si>
  <si>
    <t>World Safari</t>
  </si>
  <si>
    <t>Shoprite</t>
  </si>
  <si>
    <t>Myntra</t>
  </si>
  <si>
    <t>IndianOil</t>
  </si>
  <si>
    <t>League platinum</t>
  </si>
  <si>
    <t>White</t>
  </si>
  <si>
    <t>Zen Signature</t>
  </si>
  <si>
    <t>white Reserve</t>
  </si>
  <si>
    <t>Privy league Signature</t>
  </si>
  <si>
    <t>Imperio</t>
  </si>
  <si>
    <t>Signet</t>
  </si>
  <si>
    <t>One Card</t>
  </si>
  <si>
    <t>Scapia</t>
  </si>
  <si>
    <t>Kiwi</t>
  </si>
  <si>
    <t>₹ 3 Lakh</t>
  </si>
  <si>
    <t>No Caping</t>
  </si>
  <si>
    <t>up to 15% off at partner hotels</t>
  </si>
  <si>
    <t>2 per Year</t>
  </si>
  <si>
    <t>₹ 3540 / LTF</t>
  </si>
  <si>
    <t>₹ 3540 LTF</t>
  </si>
  <si>
    <t>If you get this card as LTF it's worth taking it it's a descent card for Lounge access and International Txns</t>
  </si>
  <si>
    <t>₹ 1770 LTF</t>
  </si>
  <si>
    <t>₹ 1770 / LTF</t>
  </si>
  <si>
    <t>₹ 885 / LTF</t>
  </si>
  <si>
    <t>₹ 1.5 Lakh</t>
  </si>
  <si>
    <t>₹ 0.75 Lakh</t>
  </si>
  <si>
    <t xml:space="preserve"> BOGO upto 100 on movies tkts on BMS once a Quarter</t>
  </si>
  <si>
    <t xml:space="preserve"> BOGO upto 400 on movies tkts on BMS once a month</t>
  </si>
  <si>
    <t xml:space="preserve"> BOGO upto 200 on movies tkts on BMS once a Month</t>
  </si>
  <si>
    <t>3x rewards on spends for Electronics and apparel
2x rewards on spends for Entertainment
1x rewards for ₹150 spent other categories.</t>
  </si>
  <si>
    <t>3x rewards on spends for Health Care, Grocery categories
2x rewards on spends for Utility categories (like Bill payments for Electricity, Gas, mobile etc)
1x rewards for ₹125 spent on  other categories.</t>
  </si>
  <si>
    <t>3X reward points on travel and international spends.
2X reward points on dining spends.
1X reward point for ₹125 spent on all other spends.</t>
  </si>
  <si>
    <r>
      <t xml:space="preserve">0.25% </t>
    </r>
    <r>
      <rPr>
        <sz val="11"/>
        <color theme="4" tint="-0.249977111117893"/>
        <rFont val="Calibri"/>
        <family val="2"/>
        <scheme val="minor"/>
      </rPr>
      <t xml:space="preserve">(1 RP = 0.25ps)
</t>
    </r>
    <r>
      <rPr>
        <sz val="11"/>
        <color rgb="FFFF0000"/>
        <rFont val="Calibri"/>
        <family val="2"/>
        <scheme val="minor"/>
      </rPr>
      <t>₹99+ GST for Reward Redemption</t>
    </r>
  </si>
  <si>
    <r>
      <t xml:space="preserve">0.16% </t>
    </r>
    <r>
      <rPr>
        <sz val="11"/>
        <color theme="4" tint="-0.249977111117893"/>
        <rFont val="Calibri"/>
        <family val="2"/>
        <scheme val="minor"/>
      </rPr>
      <t xml:space="preserve">(1 RP = 0.25ps)
</t>
    </r>
    <r>
      <rPr>
        <sz val="11"/>
        <color rgb="FFFF0000"/>
        <rFont val="Calibri"/>
        <family val="2"/>
        <scheme val="minor"/>
      </rPr>
      <t>₹99+ GST for Reward Redemption</t>
    </r>
  </si>
  <si>
    <r>
      <t xml:space="preserve">0.20% </t>
    </r>
    <r>
      <rPr>
        <sz val="11"/>
        <color theme="4" tint="-0.249977111117893"/>
        <rFont val="Calibri"/>
        <family val="2"/>
        <scheme val="minor"/>
      </rPr>
      <t xml:space="preserve">(1 RP = 0.25ps)
</t>
    </r>
    <r>
      <rPr>
        <sz val="11"/>
        <color rgb="FFFF0000"/>
        <rFont val="Calibri"/>
        <family val="2"/>
        <scheme val="minor"/>
      </rPr>
      <t>₹99+ GST for Reward Redemption</t>
    </r>
  </si>
  <si>
    <t>*** Federal Bank has very limited credit cards and their Reward structure is not that attractive but these cards are currently being offered as LTF so, consider these cards for Federal Bank offers on various platforms, Make CELESTA CC as your first priority "It's a hidden Gem" and avoid signet ***</t>
  </si>
  <si>
    <t>***These are some FinTech cards with good reward rate and can be used for general purpose, Kiwi is one of the best cards for UPI with their Neon subscription and other cards are also good for Occasional use***</t>
  </si>
  <si>
    <t>Scapia coins</t>
  </si>
  <si>
    <t>Kiwi coins</t>
  </si>
  <si>
    <t>10% Scapia Coins on all online and offline spends
20% Scapia Coins on travel bookings made through the Scapia app.</t>
  </si>
  <si>
    <r>
      <t xml:space="preserve">10% on utility bills: coins can be earned up to ₹20000 in a month
</t>
    </r>
    <r>
      <rPr>
        <sz val="11"/>
        <color rgb="FFFF0000"/>
        <rFont val="Calibri"/>
        <family val="2"/>
        <scheme val="minor"/>
      </rPr>
      <t>(1% conv fee if Txn amount exceeds ₹50000)</t>
    </r>
  </si>
  <si>
    <r>
      <t xml:space="preserve">4% on Bookings via Scapia App
2% via other platforms
</t>
    </r>
    <r>
      <rPr>
        <sz val="11"/>
        <color theme="4" tint="-0.249977111117893"/>
        <rFont val="Calibri"/>
        <family val="2"/>
        <scheme val="minor"/>
      </rPr>
      <t>(5 Scapia coins = ₹1)</t>
    </r>
  </si>
  <si>
    <t>₹10,000 in the previous  calendar month required for  Domestic lounge access.</t>
  </si>
  <si>
    <t>Earn 5X rewards on your top 3 spending categories each month
1X Rewards: On all other spends</t>
  </si>
  <si>
    <t>You need to make a purchase in at least 3 categories. Further, A category wise spends of ₹750 to unlock for 5X consideration
Max 25000 RP per month</t>
  </si>
  <si>
    <t>Lounge &amp; other Txns</t>
  </si>
  <si>
    <r>
      <rPr>
        <sz val="11"/>
        <color theme="1"/>
        <rFont val="Calibri"/>
        <family val="2"/>
        <scheme val="minor"/>
      </rPr>
      <t>0.2%</t>
    </r>
    <r>
      <rPr>
        <sz val="11"/>
        <color theme="4" tint="-0.249977111117893"/>
        <rFont val="Calibri"/>
        <family val="2"/>
        <scheme val="minor"/>
      </rPr>
      <t xml:space="preserve">
(1 RP = 10ps)</t>
    </r>
  </si>
  <si>
    <t>up to 1.00%</t>
  </si>
  <si>
    <r>
      <t xml:space="preserve">1 Kiwi points for ₹50 spent
2X kiwi points on UPI payments(Scan &amp; Pay)
</t>
    </r>
    <r>
      <rPr>
        <sz val="11"/>
        <color rgb="FFC00000"/>
        <rFont val="Calibri"/>
        <family val="2"/>
        <scheme val="minor"/>
      </rPr>
      <t xml:space="preserve">Neon Subscription:
up to 5% cashback on UPI payments
Subscription cost: ₹999/- per  year (currently it's Free)
The base reward rate is increased to 2% on scan &amp; pay Txns
Milestones:
a. 3%: on crossing  ₹50000 spends (Incl Base)
b. 4% above ₹1 Lakh spends (Incl Base)
c. 5% above ₹1.5 Lakh spends (Incl Base)
after reaching every Milestone you get a Lounge access
</t>
    </r>
  </si>
  <si>
    <r>
      <rPr>
        <sz val="11"/>
        <color theme="1"/>
        <rFont val="Calibri"/>
        <family val="2"/>
        <scheme val="minor"/>
      </rPr>
      <t>0.5%</t>
    </r>
    <r>
      <rPr>
        <sz val="11"/>
        <color theme="4" tint="-0.249977111117893"/>
        <rFont val="Calibri"/>
        <family val="2"/>
        <scheme val="minor"/>
      </rPr>
      <t xml:space="preserve">
(1 kiwi Point = 25ps)</t>
    </r>
  </si>
  <si>
    <t>0.5%
up to 5% with Neon</t>
  </si>
  <si>
    <t>1.00%
up to 5%</t>
  </si>
  <si>
    <t>Mentioned in Key benefits section</t>
  </si>
  <si>
    <t>up to 2% depending on sel category</t>
  </si>
  <si>
    <t>Max 15000 points (₹3000) can be earned per month</t>
  </si>
  <si>
    <r>
      <t xml:space="preserve">up to 2% depending on sel category
</t>
    </r>
    <r>
      <rPr>
        <sz val="11"/>
        <color theme="4" tint="-0.249977111117893"/>
        <rFont val="Calibri"/>
        <family val="2"/>
        <scheme val="minor"/>
      </rPr>
      <t>(5 Points = Rs.1)</t>
    </r>
  </si>
  <si>
    <t>Jupiter CSB Edge Rupay</t>
  </si>
  <si>
    <t>***Kotak Mahindra bank has wide range of cards however, there are very limited cards with useful benefits and I've tried to cover most of the cards for your Reference***</t>
  </si>
  <si>
    <t xml:space="preserve">7.5% instant discount on all purchases made on the Myntra platform (website and app)
5% cashback on spends at partner merchants 
1.25% cashback on all other spends
1.25% cashback on UPI payments above ₹2000
Two complimentary PVR movie tickets per quarter on spending ₹50,000 or more in that quarter
</t>
  </si>
  <si>
    <t>Max ₹750 per Txn on myntra spends</t>
  </si>
  <si>
    <t>5%: cleartrip
1.25%: Other platforms</t>
  </si>
  <si>
    <t>7.5%: Myntra
1.25%: others</t>
  </si>
  <si>
    <t>5% PVR</t>
  </si>
  <si>
    <t>5%: Swiggy
1.25%: others</t>
  </si>
  <si>
    <t>5%: Swiggy Instamart
1.25%: others</t>
  </si>
  <si>
    <r>
      <rPr>
        <sz val="11"/>
        <color rgb="FF00B050"/>
        <rFont val="Calibri"/>
        <family val="2"/>
        <scheme val="minor"/>
      </rPr>
      <t xml:space="preserve">1.25% </t>
    </r>
    <r>
      <rPr>
        <sz val="11"/>
        <color rgb="FFC00000"/>
        <rFont val="Calibri"/>
        <family val="2"/>
        <scheme val="minor"/>
      </rPr>
      <t xml:space="preserve">above ₹2000 Txn </t>
    </r>
  </si>
  <si>
    <t>Myntra Shoppers &amp; Offline &amp; UPI Txns</t>
  </si>
  <si>
    <t>Consider this card if you are a Myntra shopper and do High value UPI txns</t>
  </si>
  <si>
    <t>6 6E reward on every INR 100 spent on IndiGo 
3 6E reward on every INR 100 spent on Dining, Grocery &amp; Entertainment
2 6E reward on every INR 100 spent on all other categories
A complimentary IndiGo air ticket worth ₹3,000
₹150 discount on convenience fees for IndiGo flight bookings</t>
  </si>
  <si>
    <t>5%: IndiGo
2%: Other platforms</t>
  </si>
  <si>
    <t>Frequent Travellers via via IndiGo</t>
  </si>
  <si>
    <t>Consider this card if u Travel  Frequently using IndiGo</t>
  </si>
  <si>
    <t>4%: capped at 1200 Reward Points per statement cycle
2%: capped at 800 Reward Points per statement cycle</t>
  </si>
  <si>
    <t>24 Reward Points on every INR 150 spent on IndianOil Fuel
12 Reward Points on every INR 150 spent on Dining &amp; Grocery
3 Reward Points on every INR 150 spent on all other spends
UPI Spends: 0.5%</t>
  </si>
  <si>
    <t xml:space="preserve">Rewards </t>
  </si>
  <si>
    <r>
      <t xml:space="preserve">0.5%
</t>
    </r>
    <r>
      <rPr>
        <sz val="11"/>
        <color theme="4" tint="-0.249977111117893"/>
        <rFont val="Calibri"/>
        <family val="2"/>
        <scheme val="minor"/>
      </rPr>
      <t>(1 RP = ₹ 0.25)</t>
    </r>
  </si>
  <si>
    <r>
      <t xml:space="preserve">0.5%
</t>
    </r>
    <r>
      <rPr>
        <sz val="11"/>
        <color theme="4" tint="-0.249977111117893"/>
        <rFont val="Calibri"/>
        <family val="2"/>
        <scheme val="minor"/>
      </rPr>
      <t>(2.5 RP = 1 kotak RP, 1Kotak RP = 25ps)</t>
    </r>
  </si>
  <si>
    <t>Consider this card if it is available in LTF and it is useful for kotak bank instant discount offers</t>
  </si>
  <si>
    <r>
      <t xml:space="preserve">Up to 8X reward points for every ₹150 spent on special categories (travel agencies, airlines, electronics, departmental stores)
Up to 8X reward points for annual spends over ₹2 lakh across all categories
</t>
    </r>
    <r>
      <rPr>
        <sz val="11"/>
        <color rgb="FF00B050"/>
        <rFont val="Calibri"/>
        <family val="2"/>
        <scheme val="minor"/>
      </rPr>
      <t>Railway Surcharge Waiver</t>
    </r>
    <r>
      <rPr>
        <sz val="11"/>
        <color theme="1"/>
        <rFont val="Calibri"/>
        <family val="2"/>
        <scheme val="minor"/>
      </rPr>
      <t xml:space="preserve">
4X reward points for every ₹150 spent on other categories (up to ₹2 lakh annual spend)</t>
    </r>
  </si>
  <si>
    <t>Zen points</t>
  </si>
  <si>
    <t xml:space="preserve">Earn 10 Zen Points for every Rs. 150 spent on Shopping (Apparels, Lifestyle goods, Departmental Stores &amp; Jewellery)
Earn 5 Zen Points for every Rs. 150 on all other spends.
</t>
  </si>
  <si>
    <t>The reward points earned on all transactions will be capped at 6,500 points per billing cycle</t>
  </si>
  <si>
    <r>
      <t xml:space="preserve">0.83% 
</t>
    </r>
    <r>
      <rPr>
        <sz val="11"/>
        <color theme="4" tint="-0.249977111117893"/>
        <rFont val="Calibri"/>
        <family val="2"/>
        <scheme val="minor"/>
      </rPr>
      <t>(1 Zen point = 25ps)</t>
    </r>
  </si>
  <si>
    <t>3 per year</t>
  </si>
  <si>
    <t>Occasional use &amp; Jewellery</t>
  </si>
  <si>
    <t>***Wide range of cards with limited features and poor RR, if u need an RBL credit card consider Shoprite Rupay cc ***</t>
  </si>
  <si>
    <t>4% + 1% Fuel surcharge waiver</t>
  </si>
  <si>
    <t>₹ 2.75 Lakh</t>
  </si>
  <si>
    <t>15 fuel points per ₹100 spent at IndianOil fuel stations 
2 fuel points per ₹100 spent on all other purchases.
1,000 fuel points on quarterly spends of ₹75,000.</t>
  </si>
  <si>
    <t>maximum 2,000 fuel points per month</t>
  </si>
  <si>
    <r>
      <t xml:space="preserve">1%
</t>
    </r>
    <r>
      <rPr>
        <sz val="11"/>
        <color theme="4" tint="-0.249977111117893"/>
        <rFont val="Calibri"/>
        <family val="2"/>
        <scheme val="minor"/>
      </rPr>
      <t>(1 Fuel point = Rs.0.5)</t>
    </r>
  </si>
  <si>
    <t>7.5% + 1% Fuel surcharge Waiver</t>
  </si>
  <si>
    <t>1% above Rs. 2000</t>
  </si>
  <si>
    <t>5 RP for ever ₹ 100 spent on Travel
2 RP for every ₹ 100 spent on Domestic retail Txns
Milestone Benefits, Golf Benefits</t>
  </si>
  <si>
    <t xml:space="preserve">1.25%: up to ₹ 2.5 Lakh
2.25%: if ₹ 2.5 Lakh Milestone reached
2.5%: if ₹ 5 Lakh Milestone is reached
3.41% if ₹ 7.5 Lakh Milestone is reached
</t>
  </si>
  <si>
    <t xml:space="preserve">No Capping
</t>
  </si>
  <si>
    <t>up to 2.67%</t>
  </si>
  <si>
    <r>
      <t xml:space="preserve">2 per Year </t>
    </r>
    <r>
      <rPr>
        <sz val="11"/>
        <color theme="4" tint="-0.249977111117893"/>
        <rFont val="Calibri"/>
        <family val="2"/>
        <scheme val="minor"/>
      </rPr>
      <t>(+1 if  Rs.50000 spent in a Quarter)</t>
    </r>
  </si>
  <si>
    <t xml:space="preserve">20 RP on Grocery spends
1 RP on other spends
</t>
  </si>
  <si>
    <t>Offline</t>
  </si>
  <si>
    <t>You can consider this card for RBL Bank offers and Grocery (Offline)</t>
  </si>
  <si>
    <t>1 MR point for every ₹50 spent on eligible purchases
3 MR Points/ ₹50 spent on AMEX Reward Multiplier
On spending ₹1.90 lakh in a year: 15,000 bonus MR points, redeemable for travel vouchers or a Flipkart voucher worth over ₹4,500.
On spending ₹4 lakh in a year: 25,000 bonus Membership Rewards points and Taj Experiences e-Gift Cards worth ₹10,000 from Taj</t>
  </si>
  <si>
    <r>
      <t xml:space="preserve">No capping on base points
You can get up to </t>
    </r>
    <r>
      <rPr>
        <sz val="11"/>
        <color rgb="FF00B050"/>
        <rFont val="Calibri"/>
        <family val="2"/>
        <scheme val="minor"/>
      </rPr>
      <t xml:space="preserve">48000 </t>
    </r>
    <r>
      <rPr>
        <sz val="11"/>
        <color theme="1"/>
        <rFont val="Calibri"/>
        <family val="2"/>
        <scheme val="minor"/>
      </rPr>
      <t>MR points on completing both milestones</t>
    </r>
  </si>
  <si>
    <t xml:space="preserve">
Upto 12% MR/MB Points(2% base)/6% (1% base) Airmiles in bonus on spending 4L (total, across all categories) in a year. Also get taj voucher worth of Rs. 10,000</t>
  </si>
  <si>
    <r>
      <t xml:space="preserve">0% </t>
    </r>
    <r>
      <rPr>
        <sz val="11"/>
        <color rgb="FF00B050"/>
        <rFont val="Calibri"/>
        <family val="2"/>
        <scheme val="minor"/>
      </rPr>
      <t>(counted for Milestone)</t>
    </r>
  </si>
  <si>
    <r>
      <t xml:space="preserve">up to 7.5% as a Flipkart voucher
up to 5.14% as an Amazon pay voucher
5.5% on other spends
up to 12.3%: 3X on Reward Multiplier
</t>
    </r>
    <r>
      <rPr>
        <sz val="11"/>
        <color rgb="FFFF0000"/>
        <rFont val="Calibri"/>
        <family val="2"/>
        <scheme val="minor"/>
      </rPr>
      <t>( on reaching 4L Milestone)</t>
    </r>
  </si>
  <si>
    <t xml:space="preserve">
Upto 10% MR/MB Points(2% base)/6% (1% base) Airmiles in bonus on spending 4L (total, across all categories) in a year. </t>
  </si>
  <si>
    <t xml:space="preserve">No Pre-set Spending Limit
1,000 bonus MR points every month by completing six transactions of ₹1,000 or more each
5X MR points on purchases made through the Amex Reward Multiplier portal
Redeem your MR points for exclusive rewards from the 18 Karat and 24 Karat Gold Collections, including vouchers from Taj, Shoppers Stop, and more.
</t>
  </si>
  <si>
    <t>up to 12%</t>
  </si>
  <si>
    <t>up to 1%</t>
  </si>
  <si>
    <t xml:space="preserve"> 1,000 bonus MR points per month for making 4 transactions of ₹1,500+ each.
1,500 bonus MR points per month on cumulative spending of ₹20,000+ per calendar month.
2X MR points on Reward Multiplier</t>
  </si>
  <si>
    <t xml:space="preserve">
0.25% (stmt credit)
0.25% (AMEXtravel)
up to 1% (Vouchers)
2% to 3% (AirMiles)
</t>
  </si>
  <si>
    <t>₹0 / ₹2950</t>
  </si>
  <si>
    <t>₹5 Lakh</t>
  </si>
  <si>
    <t>5 Reward Points on select retail shopping (apparel, jewelry, consumer durables, restaurants, departmental stores) and travel spends (airlines, hotels, restaurants, international spends, travel agencies).
2 Reward Points on all other spends.</t>
  </si>
  <si>
    <r>
      <t xml:space="preserve">1.25%
</t>
    </r>
    <r>
      <rPr>
        <sz val="11"/>
        <color theme="4" tint="-0.249977111117893"/>
        <rFont val="Calibri"/>
        <family val="2"/>
        <scheme val="minor"/>
      </rPr>
      <t>(1 RP = 25ps)</t>
    </r>
  </si>
  <si>
    <t>up to 1.25%</t>
  </si>
  <si>
    <r>
      <t>4 per year using PP 
(</t>
    </r>
    <r>
      <rPr>
        <sz val="11"/>
        <color rgb="FFFF0000"/>
        <rFont val="Calibri"/>
        <family val="2"/>
        <scheme val="minor"/>
      </rPr>
      <t>PP Membership is only free for 1st year)</t>
    </r>
  </si>
  <si>
    <t>General use</t>
  </si>
  <si>
    <t>This card is free for Kotak Privy League banking customers
others: Avoid</t>
  </si>
  <si>
    <t>₹10 Lakh</t>
  </si>
  <si>
    <t>White pass</t>
  </si>
  <si>
    <t xml:space="preserve">Welcome&amp; Milestome Benefits, Memberships, Golf, Lounge access, Milestone based white pass </t>
  </si>
  <si>
    <r>
      <t xml:space="preserve">up to 2% on 10L spends in a year
</t>
    </r>
    <r>
      <rPr>
        <sz val="11"/>
        <color theme="4" tint="-0.249977111117893"/>
        <rFont val="Calibri"/>
        <family val="2"/>
        <scheme val="minor"/>
      </rPr>
      <t>(1 white pass = ₹1)</t>
    </r>
  </si>
  <si>
    <t>Railway surcharge waiver: Max ₹500 in a year</t>
  </si>
  <si>
    <t>1% (on Exclusive white catalog)
0.7% (stmt credit)</t>
  </si>
  <si>
    <t xml:space="preserve">Up to 2% on 10L Milestone
up to 1.67% on 3L Milestone </t>
  </si>
  <si>
    <t>Min 2000 white pass on ₹2 Lakh spends and Max 27000 white pass on ₹12 Lakh Milestone</t>
  </si>
  <si>
    <r>
      <t xml:space="preserve">up to 2.25% on 12L spends in a year
</t>
    </r>
    <r>
      <rPr>
        <sz val="11"/>
        <color theme="4" tint="-0.249977111117893"/>
        <rFont val="Calibri"/>
        <family val="2"/>
        <scheme val="minor"/>
      </rPr>
      <t>(1 white pass = ₹1)</t>
    </r>
  </si>
  <si>
    <t xml:space="preserve">Up to 2.25% on 12L Milestone
up to 1% on 2L Milestone </t>
  </si>
  <si>
    <t>up to 2.25%</t>
  </si>
  <si>
    <t xml:space="preserve">4 per year using PP 
</t>
  </si>
  <si>
    <t>Shopping &amp; Travel</t>
  </si>
  <si>
    <r>
      <rPr>
        <sz val="11"/>
        <color rgb="FF00B050"/>
        <rFont val="Calibri"/>
        <family val="2"/>
        <scheme val="minor"/>
      </rPr>
      <t>6 - per Quarter</t>
    </r>
    <r>
      <rPr>
        <sz val="11"/>
        <color theme="1"/>
        <rFont val="Calibri"/>
        <family val="2"/>
        <scheme val="minor"/>
      </rPr>
      <t xml:space="preserve">
</t>
    </r>
    <r>
      <rPr>
        <sz val="11"/>
        <color theme="4" tint="-0.249977111117893"/>
        <rFont val="Calibri"/>
        <family val="2"/>
        <scheme val="minor"/>
      </rPr>
      <t>(Incl 8 Guest visits)</t>
    </r>
  </si>
  <si>
    <r>
      <rPr>
        <sz val="11"/>
        <color rgb="FF00B050"/>
        <rFont val="Calibri"/>
        <family val="2"/>
        <scheme val="minor"/>
      </rPr>
      <t>Unlimited</t>
    </r>
    <r>
      <rPr>
        <sz val="11"/>
        <color theme="1"/>
        <rFont val="Calibri"/>
        <family val="2"/>
        <scheme val="minor"/>
      </rPr>
      <t xml:space="preserve">
</t>
    </r>
    <r>
      <rPr>
        <sz val="11"/>
        <color theme="4" tint="-0.249977111117893"/>
        <rFont val="Calibri"/>
        <family val="2"/>
        <scheme val="minor"/>
      </rPr>
      <t>(Incl 8 Guest visits), (Guest visitsshared btw Domestic &amp; International )</t>
    </r>
  </si>
  <si>
    <t>BOGO up to 3 tkts of ₹800 each  through BMS, Thrice a month</t>
  </si>
  <si>
    <t>4.5%: Flights/Hotel booking / GV
1.8%: AirMiles Transfer</t>
  </si>
  <si>
    <r>
      <t xml:space="preserve">4.5%: Flights/Hotel booking / GV
</t>
    </r>
    <r>
      <rPr>
        <sz val="11"/>
        <color theme="4" tint="-0.249977111117893"/>
        <rFont val="Calibri"/>
        <family val="2"/>
        <scheme val="minor"/>
      </rPr>
      <t>(1 YES Reward = 25ps)</t>
    </r>
    <r>
      <rPr>
        <sz val="11"/>
        <color theme="1"/>
        <rFont val="Calibri"/>
        <family val="2"/>
        <scheme val="minor"/>
      </rPr>
      <t xml:space="preserve">
1.8%: AirMiles Transfer</t>
    </r>
  </si>
  <si>
    <t>2.25%: Flights/Hotel booking / GV
0.9%: Airmiles Transfer</t>
  </si>
  <si>
    <t>up to 4.5%</t>
  </si>
  <si>
    <t>2.25%: Flights/Hotel booking / GV
(1 YES Reward = 25ps)
0.9%: Airmiles Transfer</t>
  </si>
  <si>
    <t>1.07% or 3.32</t>
  </si>
  <si>
    <r>
      <t xml:space="preserve">1.25%: Flights/Hotel booking / GV
0.5%: Airmiles Transfer
</t>
    </r>
    <r>
      <rPr>
        <sz val="11"/>
        <color rgb="FFFF0000"/>
        <rFont val="Calibri"/>
        <family val="2"/>
        <scheme val="minor"/>
      </rPr>
      <t>up to ₹25000 spends per month</t>
    </r>
  </si>
  <si>
    <t>₹10,000 in the previous 3 calendar months required for  Domestic lounge access.</t>
  </si>
  <si>
    <t>25% off up to ₹250 through BMS, once a month</t>
  </si>
  <si>
    <r>
      <rPr>
        <sz val="11"/>
        <color rgb="FF00B050"/>
        <rFont val="Calibri"/>
        <family val="2"/>
        <scheme val="minor"/>
      </rPr>
      <t>6 - per year</t>
    </r>
    <r>
      <rPr>
        <sz val="11"/>
        <color theme="1"/>
        <rFont val="Calibri"/>
        <family val="2"/>
        <scheme val="minor"/>
      </rPr>
      <t xml:space="preserve">
</t>
    </r>
  </si>
  <si>
    <r>
      <rPr>
        <sz val="11"/>
        <color rgb="FF00B050"/>
        <rFont val="Calibri"/>
        <family val="2"/>
        <scheme val="minor"/>
      </rPr>
      <t>3 - per Quarter</t>
    </r>
    <r>
      <rPr>
        <sz val="11"/>
        <color theme="1"/>
        <rFont val="Calibri"/>
        <family val="2"/>
        <scheme val="minor"/>
      </rPr>
      <t xml:space="preserve">
</t>
    </r>
  </si>
  <si>
    <t>24 YES Rewardz Points per ₹200 spent on online shopping (except on select categories).
12 YES Rewardz Points per ₹200 spent on offline shopping (except on select categories).
6 YES Rewardz Points per ₹200 spent on select categories (recharge, utility bill, insurance, and other government payments).</t>
  </si>
  <si>
    <r>
      <t xml:space="preserve">3%: Flights/Hotel booking / GV
</t>
    </r>
    <r>
      <rPr>
        <sz val="11"/>
        <color theme="4" tint="-0.249977111117893"/>
        <rFont val="Calibri"/>
        <family val="2"/>
        <scheme val="minor"/>
      </rPr>
      <t>(1 YES Reward = 25ps)</t>
    </r>
    <r>
      <rPr>
        <sz val="11"/>
        <color theme="1"/>
        <rFont val="Calibri"/>
        <family val="2"/>
        <scheme val="minor"/>
      </rPr>
      <t xml:space="preserve">
</t>
    </r>
  </si>
  <si>
    <t xml:space="preserve">1.5%: Flights/Hotel booking / GV
</t>
  </si>
  <si>
    <t xml:space="preserve">3%: Flights/Hotel booking / GV
</t>
  </si>
  <si>
    <r>
      <t xml:space="preserve">0.75%: Flights/Hotel booking / GV
</t>
    </r>
    <r>
      <rPr>
        <sz val="11"/>
        <color rgb="FFFF0000"/>
        <rFont val="Calibri"/>
        <family val="2"/>
        <scheme val="minor"/>
      </rPr>
      <t>up to ₹25000 spends per month</t>
    </r>
  </si>
  <si>
    <t xml:space="preserve">0.75%: Flights/Hotel booking / GV
</t>
  </si>
  <si>
    <t>0.94% or -0.81%</t>
  </si>
  <si>
    <t>12 YES Rewardz Points per ₹200 spent on online shopping (except on select categories).
6 YES Rewardz Points per ₹200 spent on offline shopping (except on select categories).
4 YES Rewardz Points per ₹200 spent on select categories (recharge, utility bill, insurance, and other government payments).</t>
  </si>
  <si>
    <t>36 YES Rewardz Points per ₹200 spent on online shopping (except on select categories).
18 YES Rewardz Points per ₹200 spent on offline shopping (except on select categories).
10 YES Rewardz Points per ₹200 spent on select categories ( recharge, utility bill, insurance, and other governmen payments).</t>
  </si>
  <si>
    <r>
      <t xml:space="preserve">1.5%: Flights/Hotel booking / GV
</t>
    </r>
    <r>
      <rPr>
        <sz val="11"/>
        <color theme="4" tint="-0.249977111117893"/>
        <rFont val="Calibri"/>
        <family val="2"/>
        <scheme val="minor"/>
      </rPr>
      <t>(1 YES Reward = 25ps)</t>
    </r>
    <r>
      <rPr>
        <sz val="11"/>
        <color theme="1"/>
        <rFont val="Calibri"/>
        <family val="2"/>
        <scheme val="minor"/>
      </rPr>
      <t xml:space="preserve">
</t>
    </r>
  </si>
  <si>
    <r>
      <t xml:space="preserve">0.5%: Flights/Hotel booking / GV
</t>
    </r>
    <r>
      <rPr>
        <sz val="11"/>
        <color rgb="FFFF0000"/>
        <rFont val="Calibri"/>
        <family val="2"/>
        <scheme val="minor"/>
      </rPr>
      <t>up to ₹25000 spends per month</t>
    </r>
  </si>
  <si>
    <t>up to 1.5%</t>
  </si>
  <si>
    <t>Online &amp; Offline Txns</t>
  </si>
  <si>
    <t>8 YES Rewardz Points per ₹200 spent on online shopping (except on select categories).
4 YES Rewardz Points per ₹200 spent on offline shopping (except on select categories).
2 YES Rewardz Points per ₹200 spent on select categories (recharge, utility bill, insurance, and other government payments).</t>
  </si>
  <si>
    <t>Max 12000 rewards per month (up to ₹2 Lakh spends)</t>
  </si>
  <si>
    <r>
      <t xml:space="preserve">1%: Flights/Hotel booking / GV
</t>
    </r>
    <r>
      <rPr>
        <sz val="11"/>
        <color theme="4" tint="-0.249977111117893"/>
        <rFont val="Calibri"/>
        <family val="2"/>
        <scheme val="minor"/>
      </rPr>
      <t>(1 YES Reward = 25ps)</t>
    </r>
    <r>
      <rPr>
        <sz val="11"/>
        <color theme="1"/>
        <rFont val="Calibri"/>
        <family val="2"/>
        <scheme val="minor"/>
      </rPr>
      <t xml:space="preserve">
</t>
    </r>
  </si>
  <si>
    <t xml:space="preserve">0.5%: Flights/Hotel booking / GV
</t>
  </si>
  <si>
    <t xml:space="preserve">1%: Flights/Hotel booking / GV
</t>
  </si>
  <si>
    <r>
      <t xml:space="preserve">0.25%: Flights/Hotel booking / GV
</t>
    </r>
    <r>
      <rPr>
        <sz val="11"/>
        <color rgb="FFFF0000"/>
        <rFont val="Calibri"/>
        <family val="2"/>
        <scheme val="minor"/>
      </rPr>
      <t>up to ₹25000 spends per month</t>
    </r>
  </si>
  <si>
    <t>16 YES Rewardz Points per ₹200 spent on Air/Hotel/Dinning/Travel/Rented Vehicles) other than ‘Select categories
8 YES Rewardz Points per ₹200 spent on offline shopping (except on select categories).
4 YES Rewardz Points per ₹200 spent on select categories (recharge, utility bill, insurance, and other government payments).</t>
  </si>
  <si>
    <t>Travel &amp; Business</t>
  </si>
  <si>
    <t>Consider this card if u have significant spends on sel categories</t>
  </si>
  <si>
    <r>
      <rPr>
        <sz val="11"/>
        <color theme="1"/>
        <rFont val="Calibri"/>
        <family val="2"/>
        <scheme val="minor"/>
      </rPr>
      <t xml:space="preserve">2 - per year
</t>
    </r>
  </si>
  <si>
    <r>
      <rPr>
        <sz val="11"/>
        <color theme="1"/>
        <rFont val="Calibri"/>
        <family val="2"/>
        <scheme val="minor"/>
      </rPr>
      <t xml:space="preserve">1 - per year
</t>
    </r>
  </si>
  <si>
    <r>
      <rPr>
        <sz val="11"/>
        <color rgb="FF00B050"/>
        <rFont val="Calibri"/>
        <family val="2"/>
        <scheme val="minor"/>
      </rPr>
      <t>2 - per Quarter</t>
    </r>
    <r>
      <rPr>
        <sz val="11"/>
        <color theme="1"/>
        <rFont val="Calibri"/>
        <family val="2"/>
        <scheme val="minor"/>
      </rPr>
      <t xml:space="preserve">
</t>
    </r>
  </si>
  <si>
    <t>capped at 12000 Points(₹3000) per statement on 8X</t>
  </si>
  <si>
    <t>Max 5000 rewards(₹1250) per month (up to ₹1.25 Lakh spends)</t>
  </si>
  <si>
    <t>Max 1 Lakh rewards(₹25000) per month (up to ₹5.5 Lakh spends)</t>
  </si>
  <si>
    <t>Max 36000 rewards(₹9000) per month (up to ₹3 Lakh spends)</t>
  </si>
  <si>
    <r>
      <t xml:space="preserve">2%: Flights/Hotel booking / GV
</t>
    </r>
    <r>
      <rPr>
        <sz val="11"/>
        <color theme="4" tint="-0.249977111117893"/>
        <rFont val="Calibri"/>
        <family val="2"/>
        <scheme val="minor"/>
      </rPr>
      <t>(1 YES Reward = 25ps)</t>
    </r>
    <r>
      <rPr>
        <sz val="11"/>
        <color theme="1"/>
        <rFont val="Calibri"/>
        <family val="2"/>
        <scheme val="minor"/>
      </rPr>
      <t xml:space="preserve">
</t>
    </r>
  </si>
  <si>
    <t xml:space="preserve">2%: Flights/Hotel booking / GV
</t>
  </si>
  <si>
    <t>1 RP on every ₹100 spent on all other categories
2 RP on every ₹100 spent on UPI spends
0.7 RP on every ₹100 spent on Utility, govt services, insurance etc spends</t>
  </si>
  <si>
    <t>Max 2500(up to ₹875) can be redeemed per stmt cycle</t>
  </si>
  <si>
    <r>
      <t xml:space="preserve">0.70% (stmt credit)
Avoid other redemption options
</t>
    </r>
    <r>
      <rPr>
        <sz val="11"/>
        <color theme="4" tint="-0.249977111117893"/>
        <rFont val="Calibri"/>
        <family val="2"/>
        <scheme val="minor"/>
      </rPr>
      <t>(1 RP = 35ps)</t>
    </r>
    <r>
      <rPr>
        <sz val="11"/>
        <color theme="1"/>
        <rFont val="Calibri"/>
        <family val="2"/>
        <scheme val="minor"/>
      </rPr>
      <t xml:space="preserve">
</t>
    </r>
    <r>
      <rPr>
        <sz val="11"/>
        <color rgb="FFFF0000"/>
        <rFont val="Calibri"/>
        <family val="2"/>
        <scheme val="minor"/>
      </rPr>
      <t>Reward Redemption fee ₹99 + GST</t>
    </r>
  </si>
  <si>
    <t>Food &amp; Dining</t>
  </si>
  <si>
    <t>EazyDiner points</t>
  </si>
  <si>
    <t>8- per Year</t>
  </si>
  <si>
    <t xml:space="preserve">up to 50% off on sel prime Restaurants, up to ₹1000 off on paying through PayEazy, </t>
  </si>
  <si>
    <t>there should be a 2-hour time gap between every txns for availing 25% discount at Restaurants</t>
  </si>
  <si>
    <t>Complimentary EazyDiner Prime membership for the first year
Up to 25% discount at participating restaurants through the EazyDiner platform
10 RP on every ₹100 spent on dining, shopping andentertainment
4 RP on every Rs 100 spent on all other spends 
3X EazyPoints using your EazyDiner IndusInd Bank Credit Card</t>
  </si>
  <si>
    <r>
      <t xml:space="preserve">0.80% (Dining Bill payments)
</t>
    </r>
    <r>
      <rPr>
        <sz val="11"/>
        <color theme="4" tint="-0.249977111117893"/>
        <rFont val="Calibri"/>
        <family val="2"/>
        <scheme val="minor"/>
      </rPr>
      <t>(1 RP = 20ps)</t>
    </r>
    <r>
      <rPr>
        <sz val="11"/>
        <color theme="1"/>
        <rFont val="Calibri"/>
        <family val="2"/>
        <scheme val="minor"/>
      </rPr>
      <t xml:space="preserve">
</t>
    </r>
  </si>
  <si>
    <r>
      <t xml:space="preserve">0.50%: up to ₹ 2.5 Lakh
1.50%: if ₹ 2.5 Lakh Milestone reached
1.75%: if ₹ 5 Lakh Milestone is reached
2.67% if ₹ 7.5 Lakh Milestone is reached
</t>
    </r>
    <r>
      <rPr>
        <sz val="11"/>
        <color theme="4" tint="-0.249977111117893"/>
        <rFont val="Calibri"/>
        <family val="2"/>
        <scheme val="minor"/>
      </rPr>
      <t>(1 RP = Rs.0.25)</t>
    </r>
    <r>
      <rPr>
        <sz val="11"/>
        <color theme="1"/>
        <rFont val="Calibri"/>
        <family val="2"/>
        <scheme val="minor"/>
      </rPr>
      <t xml:space="preserve">
</t>
    </r>
    <r>
      <rPr>
        <sz val="11"/>
        <color rgb="FFFF0000"/>
        <rFont val="Calibri"/>
        <family val="2"/>
        <scheme val="minor"/>
      </rPr>
      <t>Reward Redemption fee ₹99 + GST</t>
    </r>
  </si>
  <si>
    <r>
      <t xml:space="preserve">0.25%
</t>
    </r>
    <r>
      <rPr>
        <sz val="11"/>
        <color theme="4" tint="-0.249977111117893"/>
        <rFont val="Calibri"/>
        <family val="2"/>
        <scheme val="minor"/>
      </rPr>
      <t>(1 RP = Rs.0.25)</t>
    </r>
    <r>
      <rPr>
        <sz val="11"/>
        <color theme="1"/>
        <rFont val="Calibri"/>
        <family val="2"/>
        <scheme val="minor"/>
      </rPr>
      <t xml:space="preserve">
</t>
    </r>
    <r>
      <rPr>
        <sz val="11"/>
        <color rgb="FFFF0000"/>
        <rFont val="Calibri"/>
        <family val="2"/>
        <scheme val="minor"/>
      </rPr>
      <t>Reward Redemption fee ₹99 + GST</t>
    </r>
  </si>
  <si>
    <t xml:space="preserve">0.80% (Dining Bill payments)
</t>
  </si>
  <si>
    <t xml:space="preserve">up to 2% (Dining Bill payments)
</t>
  </si>
  <si>
    <t>Currently it's the best card for Food &amp; Dining and Movies</t>
  </si>
  <si>
    <t>1 - per Quarter</t>
  </si>
  <si>
    <t>BOGO up to ₹200 on BMS once a month</t>
  </si>
  <si>
    <t>2.5 RP on every ₹100 spent on E-com Txns
1.5 RP on every ₹100 spent on Travel spends
0.7 RP on every ₹100 spent on all other spends</t>
  </si>
  <si>
    <t>up to 2.5%</t>
  </si>
  <si>
    <t>Exclusive Account from Indusind</t>
  </si>
  <si>
    <t>1 complimentary movie ticket (up to ₹500) every 6 months on BMS</t>
  </si>
  <si>
    <t>*** YES bank has rewamped their credit card collection There are few cards with descent benefits from this bank , I've included all of them below and Excluded some cards with low reward rate ***</t>
  </si>
  <si>
    <t>***Indusind Credit cards are mostly useful for Lifestyle benefits and for Rewards and cashback these are not suitable for you, I've included some popular credit cards from Indusind with descent benefits***</t>
  </si>
  <si>
    <t>2 - per Year using PP</t>
  </si>
  <si>
    <t>Lounge Access</t>
  </si>
  <si>
    <t xml:space="preserve">1 RP below ₹1L
2 RP from ₹1L to ₹2.5L
4 RP from ₹2.5L to ₹5L
6 RP above ₹5L
you can get 20000 RP on spending ₹6L
</t>
  </si>
  <si>
    <t>0.4% (stmt credit)
1.2% (Airmiles)</t>
  </si>
  <si>
    <t xml:space="preserve">Up to 1.2%
</t>
  </si>
  <si>
    <t>Card Name / 
Category</t>
  </si>
  <si>
    <t>Axis IndianOil premium</t>
  </si>
  <si>
    <t>AU Altura +</t>
  </si>
  <si>
    <t>AU Ixigo</t>
  </si>
  <si>
    <t xml:space="preserve">AU Xcite ACE </t>
  </si>
  <si>
    <t>HDFC Infinia Metal</t>
  </si>
  <si>
    <t>HDFC DCP</t>
  </si>
  <si>
    <t>HDFC MB+</t>
  </si>
  <si>
    <t>HDFC PIXEL Play</t>
  </si>
  <si>
    <t>HDFC Rupay UPI</t>
  </si>
  <si>
    <t>HDFC IndianOil</t>
  </si>
  <si>
    <t xml:space="preserve">HDFC TNI </t>
  </si>
  <si>
    <t>HDFC TN+</t>
  </si>
  <si>
    <t>HDFCMariot Bonvoy</t>
  </si>
  <si>
    <t>HDFC 6E Rewards XL</t>
  </si>
  <si>
    <t>HDFC Biz Black Metal</t>
  </si>
  <si>
    <t>ICICI Emeralde private Metal</t>
  </si>
  <si>
    <t>ICICI Amazon pay</t>
  </si>
  <si>
    <t>ICICI Coral Rupay</t>
  </si>
  <si>
    <t>SBI Cashback</t>
  </si>
  <si>
    <t>SBI Simplyclick</t>
  </si>
  <si>
    <t>SBI Simplysave</t>
  </si>
  <si>
    <t>SBI Elite</t>
  </si>
  <si>
    <t>IDFC Mayura</t>
  </si>
  <si>
    <t>IDFC Ashva</t>
  </si>
  <si>
    <t>IDFC Wealth</t>
  </si>
  <si>
    <t>IDFC select</t>
  </si>
  <si>
    <t xml:space="preserve">IDFC classic </t>
  </si>
  <si>
    <t>IDFC Millennia</t>
  </si>
  <si>
    <t>IDFC SWYP</t>
  </si>
  <si>
    <t>IDFC Power +</t>
  </si>
  <si>
    <t>BOB TIARA</t>
  </si>
  <si>
    <t>BOB Snapdeal</t>
  </si>
  <si>
    <t>BOB EASY</t>
  </si>
  <si>
    <t>BOB HPCL energie</t>
  </si>
  <si>
    <t>HSBC Premier</t>
  </si>
  <si>
    <t>SC Smart</t>
  </si>
  <si>
    <t>SC Rewards</t>
  </si>
  <si>
    <t>SC platinum rewards</t>
  </si>
  <si>
    <t>AMEX Platinum Travel</t>
  </si>
  <si>
    <t>Indusind EazyDiner Signature</t>
  </si>
  <si>
    <t>Indusind Pinnacle</t>
  </si>
  <si>
    <t>Indusind Tiger</t>
  </si>
  <si>
    <t>YES MARQUEE</t>
  </si>
  <si>
    <t>YES RESERV</t>
  </si>
  <si>
    <t>YES Elite +</t>
  </si>
  <si>
    <t>YES ACE</t>
  </si>
  <si>
    <t>RBL IndianOil XTRA</t>
  </si>
  <si>
    <t>RBL World Safari</t>
  </si>
  <si>
    <t>RBL Shoprite</t>
  </si>
  <si>
    <t>Kotak Myntra</t>
  </si>
  <si>
    <t>Kotak IndiGo 6E rewards XL</t>
  </si>
  <si>
    <t xml:space="preserve">Kotak IndianOil </t>
  </si>
  <si>
    <t>Kotak League Platinum</t>
  </si>
  <si>
    <t>Kotak Zen Signature</t>
  </si>
  <si>
    <t>Privy League signature</t>
  </si>
  <si>
    <t>White Reserve</t>
  </si>
  <si>
    <t>Kotak White</t>
  </si>
  <si>
    <t>Federal Celesta</t>
  </si>
  <si>
    <t>Federal Imperio</t>
  </si>
  <si>
    <t>Federal Signet</t>
  </si>
  <si>
    <t>Federal scapia</t>
  </si>
  <si>
    <t>YES kiwi</t>
  </si>
  <si>
    <t>Jupiter CSB Rupay</t>
  </si>
  <si>
    <t>Annual fee Incl GST (₹)</t>
  </si>
  <si>
    <t>Base Reward rate (%)</t>
  </si>
  <si>
    <t>Fuel (%)</t>
  </si>
  <si>
    <t>Food &amp; Dining (%)</t>
  </si>
  <si>
    <t>Indusind Rupay Platinum</t>
  </si>
  <si>
    <t>.</t>
  </si>
  <si>
    <t>Fee waiver condition (₹ Lakh)</t>
  </si>
  <si>
    <t>International Txns (Offline)</t>
  </si>
  <si>
    <t>Grocery (Offline) (%)</t>
  </si>
  <si>
    <t>Grocery (Online) (%)</t>
  </si>
  <si>
    <t>Travel  (up to %)</t>
  </si>
  <si>
    <t>Utility Bill payments (up to %)</t>
  </si>
  <si>
    <t>Govt services / TAX (up to %)</t>
  </si>
  <si>
    <t>Rent (up to %)</t>
  </si>
  <si>
    <t>Wallet load (up to %)</t>
  </si>
  <si>
    <t>Education (up to %)</t>
  </si>
  <si>
    <t>Insurance (up to %)</t>
  </si>
  <si>
    <t>Jewellery (up to %)</t>
  </si>
  <si>
    <t xml:space="preserve">12 Edge RP per ₹200 spent upto ₹1.5L
35 Edge RP per ₹200 spent above ₹1.5L
60 Edge RP per ₹200 spent upto ₹2L  in Travel Edge Portal. 
35 Edge RP per ₹200 spent above ₹2L in Travel Edge Portal. </t>
  </si>
  <si>
    <t>Online shopping  (up to)</t>
  </si>
  <si>
    <t>Offline Txns (up to)</t>
  </si>
  <si>
    <t xml:space="preserve"> Online Txns  (up to)</t>
  </si>
  <si>
    <t>Online shopping  (Specific platforms in %)</t>
  </si>
  <si>
    <t>International Txns (Online %)</t>
  </si>
  <si>
    <t>Forex Mark-up fee (%)</t>
  </si>
  <si>
    <t>Best Credit Cards Across All Categories Based on Fee Range</t>
  </si>
  <si>
    <t>Category / Fee Range</t>
  </si>
  <si>
    <t>Other Online Txns</t>
  </si>
  <si>
    <t>Insurance / Education</t>
  </si>
  <si>
    <t>Jewellery</t>
  </si>
  <si>
    <t>Govt services / TAX</t>
  </si>
  <si>
    <t>Rent / Wallet Load</t>
  </si>
  <si>
    <t>Domestic Airport Lounge Access</t>
  </si>
  <si>
    <t>International Airport Lounge Access</t>
  </si>
  <si>
    <t>Railway Lounge Access</t>
  </si>
  <si>
    <t>Forex mark up fee</t>
  </si>
  <si>
    <t>Food &amp; dining</t>
  </si>
  <si>
    <t>Grocery / Dept stores / Supermarkets</t>
  </si>
  <si>
    <t>Grocery (Online)</t>
  </si>
  <si>
    <t>UPI payments</t>
  </si>
  <si>
    <t>Lifetime Free</t>
  </si>
  <si>
    <t>HDFC DCB Metal</t>
  </si>
  <si>
    <t>HDFC INFINIA</t>
  </si>
  <si>
    <t>Welcome Benefits, lounge access, milestone benefits
Earn 5 EDGE Miles for every Rs. 100 spent on Travel EDGE, airline and hotel merchants
Earn 2 EDGE Mile per INR 100 spent on all other spends
4% AirMiles</t>
  </si>
  <si>
    <r>
      <t xml:space="preserve">Travel Edge: 5% - Direct Redemption,    10% on Travel Edge/Airline/Hotel spends (Miles Transfer)
</t>
    </r>
    <r>
      <rPr>
        <sz val="11"/>
        <color theme="4" tint="-0.249977111117893"/>
        <rFont val="Calibri"/>
        <family val="2"/>
        <scheme val="minor"/>
      </rPr>
      <t>(Assuming 1EDGE Mile  = ₹1)</t>
    </r>
    <r>
      <rPr>
        <sz val="11"/>
        <color rgb="FFFF0000"/>
        <rFont val="Calibri"/>
        <family val="2"/>
        <scheme val="minor"/>
      </rPr>
      <t xml:space="preserve"> 
</t>
    </r>
  </si>
  <si>
    <t>10% Bigbasket</t>
  </si>
  <si>
    <t xml:space="preserve">2% on Travel &amp; Dining &amp; International Txns, 1% on Other spends +1.3% Milestone benefits on 75k spends in a month </t>
  </si>
  <si>
    <r>
      <t xml:space="preserve">2% 
</t>
    </r>
    <r>
      <rPr>
        <sz val="11"/>
        <color theme="4" tint="-0.249977111117893"/>
        <rFont val="Calibri"/>
        <family val="2"/>
        <scheme val="minor"/>
      </rPr>
      <t>(1 RP = ₹1)</t>
    </r>
  </si>
  <si>
    <t>1.5% Offline Cashback
 2 RP(0.5%) per Rs.100 on Online Txns
0.25% on reaching max limit</t>
  </si>
  <si>
    <r>
      <t xml:space="preserve">0.5%
 2.125% on crossing 20k spends in a month
</t>
    </r>
    <r>
      <rPr>
        <sz val="11"/>
        <color rgb="FFFF0000"/>
        <rFont val="Calibri"/>
        <family val="2"/>
        <scheme val="minor"/>
      </rPr>
      <t>RP Redemption fee: ₹ 99+GST</t>
    </r>
  </si>
  <si>
    <t>up to 1.3%</t>
  </si>
  <si>
    <t>1.5%
1.3% on crossing ₹20k spends in a month</t>
  </si>
  <si>
    <r>
      <t xml:space="preserve">1.33% (1X) other platforms
6.66% (5X) specific platforms
</t>
    </r>
    <r>
      <rPr>
        <sz val="11"/>
        <color theme="4" tint="-0.249977111117893"/>
        <rFont val="Calibri"/>
        <family val="2"/>
        <scheme val="minor"/>
      </rPr>
      <t>(1 RP = 0.5ps)</t>
    </r>
    <r>
      <rPr>
        <sz val="11"/>
        <color theme="1"/>
        <rFont val="Calibri"/>
        <family val="2"/>
        <scheme val="minor"/>
      </rPr>
      <t xml:space="preserve">
</t>
    </r>
  </si>
  <si>
    <t>Upto 1.33%</t>
  </si>
  <si>
    <t>upto 1.33%</t>
  </si>
  <si>
    <t xml:space="preserve">
0.33%</t>
  </si>
  <si>
    <t>Spends Required</t>
  </si>
  <si>
    <t>Normal RR per Rs.100</t>
  </si>
  <si>
    <t>Total Base Rewards</t>
  </si>
  <si>
    <t>Accelerated Rewards</t>
  </si>
  <si>
    <t>1 MR point =</t>
  </si>
  <si>
    <t>0.6ps</t>
  </si>
  <si>
    <t>Rewards value</t>
  </si>
  <si>
    <t>TAJ voucher on 4L Milestone</t>
  </si>
  <si>
    <t>Total Benefit</t>
  </si>
  <si>
    <t>Reward rate</t>
  </si>
  <si>
    <t>Sign up Bonus</t>
  </si>
  <si>
    <t>ROI</t>
  </si>
  <si>
    <t>AMEX Gold charge card</t>
  </si>
  <si>
    <t>voucher</t>
  </si>
  <si>
    <t>Annual Fee(1st yr)</t>
  </si>
  <si>
    <t>Annual Fee(2nd yr)</t>
  </si>
  <si>
    <t>ROI Remains Same for 2nd Year</t>
  </si>
  <si>
    <t>AMEX MRCC (Case 1)</t>
  </si>
  <si>
    <t>AMEX MRCC (Case 2)</t>
  </si>
  <si>
    <t>3X</t>
  </si>
  <si>
    <t>5X</t>
  </si>
  <si>
    <t>Rewards Multiplier</t>
  </si>
  <si>
    <t>2X</t>
  </si>
  <si>
    <t>Total Base Rewards (RM Spends)</t>
  </si>
  <si>
    <t xml:space="preserve">Total Base Rewards </t>
  </si>
  <si>
    <t>(RM Spends)</t>
  </si>
  <si>
    <t xml:space="preserve">Rewards Multiplier </t>
  </si>
  <si>
    <t>Other spends</t>
  </si>
  <si>
    <t>Total Rewards</t>
  </si>
  <si>
    <r>
      <t xml:space="preserve">Up to 18.67%
</t>
    </r>
    <r>
      <rPr>
        <sz val="11"/>
        <color theme="4" tint="-0.249977111117893"/>
        <rFont val="Calibri"/>
        <family val="2"/>
        <scheme val="minor"/>
      </rPr>
      <t>(assuming 1 MR point = Rs.1)</t>
    </r>
  </si>
  <si>
    <t>up to 18%</t>
  </si>
  <si>
    <r>
      <t xml:space="preserve"> 0% </t>
    </r>
    <r>
      <rPr>
        <sz val="11"/>
        <color rgb="FF00B050"/>
        <rFont val="Calibri"/>
        <family val="2"/>
        <scheme val="minor"/>
      </rPr>
      <t>(counted for Milestone)</t>
    </r>
  </si>
  <si>
    <r>
      <t xml:space="preserve">up to 18.67 </t>
    </r>
    <r>
      <rPr>
        <sz val="11"/>
        <color rgb="FF00B050"/>
        <rFont val="Calibri"/>
        <family val="2"/>
        <scheme val="minor"/>
      </rPr>
      <t>(countedd for Milestone)</t>
    </r>
  </si>
  <si>
    <r>
      <t>0%  (</t>
    </r>
    <r>
      <rPr>
        <sz val="11"/>
        <color rgb="FF00B050"/>
        <rFont val="Calibri"/>
        <family val="2"/>
        <scheme val="minor"/>
      </rPr>
      <t>counted for Milestone)</t>
    </r>
  </si>
  <si>
    <t>up to 8% approx</t>
  </si>
  <si>
    <t>up to 14% approx</t>
  </si>
  <si>
    <r>
      <rPr>
        <sz val="11"/>
        <color rgb="FF00B050"/>
        <rFont val="Calibri"/>
        <family val="2"/>
        <scheme val="minor"/>
      </rPr>
      <t xml:space="preserve">Travel Edge: 5% - Direct Redemption,    10% on Travel Edge/Airline/Hotel spends (Miles Transfer)
Accor Hotels: 7.2 to 18%
</t>
    </r>
    <r>
      <rPr>
        <sz val="11"/>
        <color theme="4" tint="-0.249977111117893"/>
        <rFont val="Calibri"/>
        <family val="2"/>
        <scheme val="minor"/>
      </rPr>
      <t>(Assuming 1EDGE Mile  = ₹1)</t>
    </r>
    <r>
      <rPr>
        <sz val="11"/>
        <color rgb="FFFF0000"/>
        <rFont val="Calibri"/>
        <family val="2"/>
        <scheme val="minor"/>
      </rPr>
      <t xml:space="preserve"> 
Points Transfer charge: Rs. 199+GST</t>
    </r>
  </si>
  <si>
    <r>
      <rPr>
        <sz val="11"/>
        <color rgb="FF00B050"/>
        <rFont val="Calibri"/>
        <family val="2"/>
        <scheme val="minor"/>
      </rPr>
      <t xml:space="preserve">Up to 21% on spends of 72k p.a only on RM
up to 16.2% on Non-RM spends
</t>
    </r>
    <r>
      <rPr>
        <sz val="11"/>
        <color theme="4" tint="-0.249977111117893"/>
        <rFont val="Calibri"/>
        <family val="2"/>
        <scheme val="minor"/>
      </rPr>
      <t>(assuming 1 MR point = Rs.0.6)</t>
    </r>
  </si>
  <si>
    <r>
      <rPr>
        <sz val="11"/>
        <color rgb="FF00B050"/>
        <rFont val="Calibri"/>
        <family val="2"/>
        <scheme val="minor"/>
      </rPr>
      <t xml:space="preserve">up to 8.7% on 2.4L spends (Non RM spends)
up to 16.2% on 72k spends (Non RM spends)
up to 9.9% on 2.4L spends (RM spends)
up to 17.4% on 72k spends (RM Spends)
</t>
    </r>
    <r>
      <rPr>
        <sz val="11"/>
        <color theme="4" tint="-0.249977111117893"/>
        <rFont val="Calibri"/>
        <family val="2"/>
        <scheme val="minor"/>
      </rPr>
      <t>(assuming 1 MR point = 50ps)</t>
    </r>
  </si>
  <si>
    <t xml:space="preserve">Online shopping </t>
  </si>
  <si>
    <t>FEDERAL scapia / AU Ixigo</t>
  </si>
  <si>
    <t>None</t>
  </si>
  <si>
    <t>IDFC and AU Credit cards</t>
  </si>
  <si>
    <t xml:space="preserve">Indusind Tiger
</t>
  </si>
  <si>
    <t>IDFC Wealth / Federal Celesta</t>
  </si>
  <si>
    <t>Indusind EZD Platinum</t>
  </si>
  <si>
    <t>Online shopping (Specific Apps/websites)</t>
  </si>
  <si>
    <r>
      <t xml:space="preserve">AU Ixigo
</t>
    </r>
    <r>
      <rPr>
        <sz val="12"/>
        <color rgb="FF00B050"/>
        <rFont val="Calibri"/>
        <family val="2"/>
        <scheme val="minor"/>
      </rPr>
      <t>(10%)</t>
    </r>
  </si>
  <si>
    <r>
      <t xml:space="preserve">AU Xcite ultra
</t>
    </r>
    <r>
      <rPr>
        <sz val="12"/>
        <color rgb="FF00B050"/>
        <rFont val="Calibri"/>
        <family val="2"/>
        <scheme val="minor"/>
      </rPr>
      <t>(4.5%)</t>
    </r>
  </si>
  <si>
    <r>
      <t xml:space="preserve">ICICI Amazon Pay
</t>
    </r>
    <r>
      <rPr>
        <sz val="12"/>
        <color rgb="FF00B050"/>
        <rFont val="Calibri"/>
        <family val="2"/>
        <scheme val="minor"/>
      </rPr>
      <t>(5%)</t>
    </r>
  </si>
  <si>
    <r>
      <t xml:space="preserve">AU Xcite ultra
</t>
    </r>
    <r>
      <rPr>
        <sz val="12"/>
        <color rgb="FF00B050"/>
        <rFont val="Calibri"/>
        <family val="2"/>
        <scheme val="minor"/>
      </rPr>
      <t>(4.25%)</t>
    </r>
  </si>
  <si>
    <r>
      <t xml:space="preserve">AU Xcite ultra
</t>
    </r>
    <r>
      <rPr>
        <sz val="12"/>
        <color rgb="FF00B050"/>
        <rFont val="Calibri"/>
        <family val="2"/>
        <scheme val="minor"/>
      </rPr>
      <t>(3.5%)</t>
    </r>
  </si>
  <si>
    <r>
      <t xml:space="preserve">ICICI Amazon Pay
</t>
    </r>
    <r>
      <rPr>
        <sz val="12"/>
        <color rgb="FF00B050"/>
        <rFont val="Calibri"/>
        <family val="2"/>
        <scheme val="minor"/>
      </rPr>
      <t>(2%)</t>
    </r>
  </si>
  <si>
    <r>
      <t>FEDERAL scapia(</t>
    </r>
    <r>
      <rPr>
        <sz val="12"/>
        <color rgb="FF00B050"/>
        <rFont val="Calibri"/>
        <family val="2"/>
        <scheme val="minor"/>
      </rPr>
      <t xml:space="preserve">2%) </t>
    </r>
    <r>
      <rPr>
        <sz val="12"/>
        <color theme="1"/>
        <rFont val="Calibri"/>
        <family val="2"/>
        <scheme val="minor"/>
      </rPr>
      <t xml:space="preserve">/ ICICIC Amazon Pay </t>
    </r>
    <r>
      <rPr>
        <sz val="12"/>
        <color rgb="FF00B050"/>
        <rFont val="Calibri"/>
        <family val="2"/>
        <scheme val="minor"/>
      </rPr>
      <t>(1%)</t>
    </r>
  </si>
  <si>
    <r>
      <t xml:space="preserve">Indusind Tiger
</t>
    </r>
    <r>
      <rPr>
        <sz val="12"/>
        <color rgb="FF00B050"/>
        <rFont val="Calibri"/>
        <family val="2"/>
        <scheme val="minor"/>
      </rPr>
      <t>(1.2%)</t>
    </r>
  </si>
  <si>
    <r>
      <t xml:space="preserve">AU ICIGO </t>
    </r>
    <r>
      <rPr>
        <sz val="12"/>
        <color rgb="FF00B050"/>
        <rFont val="Calibri"/>
        <family val="2"/>
        <scheme val="minor"/>
      </rPr>
      <t>(0%)</t>
    </r>
    <r>
      <rPr>
        <sz val="12"/>
        <color theme="1"/>
        <rFont val="Calibri"/>
        <family val="2"/>
        <scheme val="minor"/>
      </rPr>
      <t xml:space="preserve"> / IDFC WOW</t>
    </r>
    <r>
      <rPr>
        <sz val="12"/>
        <color rgb="FF00B050"/>
        <rFont val="Calibri"/>
        <family val="2"/>
        <scheme val="minor"/>
      </rPr>
      <t xml:space="preserve"> (0%)</t>
    </r>
  </si>
  <si>
    <r>
      <t xml:space="preserve">SBI Cashback
</t>
    </r>
    <r>
      <rPr>
        <sz val="12"/>
        <color rgb="FF00B050"/>
        <rFont val="Calibri"/>
        <family val="2"/>
        <scheme val="minor"/>
      </rPr>
      <t>(5%)</t>
    </r>
  </si>
  <si>
    <r>
      <t xml:space="preserve">AXIS Flipkart
</t>
    </r>
    <r>
      <rPr>
        <sz val="12"/>
        <color rgb="FF00B050"/>
        <rFont val="Calibri"/>
        <family val="2"/>
        <scheme val="minor"/>
      </rPr>
      <t>(5%)</t>
    </r>
  </si>
  <si>
    <r>
      <t xml:space="preserve">SC EaseMyTrip
</t>
    </r>
    <r>
      <rPr>
        <sz val="12"/>
        <color rgb="FF00B050"/>
        <rFont val="Calibri"/>
        <family val="2"/>
        <scheme val="minor"/>
      </rPr>
      <t>(upto 25%)</t>
    </r>
  </si>
  <si>
    <t>AU Credit cards</t>
  </si>
  <si>
    <t>HSBC LIVE +</t>
  </si>
  <si>
    <t>HDFC TATA NEU Infinity</t>
  </si>
  <si>
    <t xml:space="preserve">Axis Hoorizon
</t>
  </si>
  <si>
    <t>Indusind EZD Signature</t>
  </si>
  <si>
    <t>AMEX Gold Charge / MRCC</t>
  </si>
  <si>
    <t>AMEX Gold Charge / MRCC / Platinum Travel</t>
  </si>
  <si>
    <t>AXIS Atlas</t>
  </si>
  <si>
    <t xml:space="preserve">AU Zenith + </t>
  </si>
  <si>
    <t xml:space="preserve">HDFC Biz Black </t>
  </si>
  <si>
    <r>
      <t xml:space="preserve">Axis ACE
</t>
    </r>
    <r>
      <rPr>
        <sz val="12"/>
        <color rgb="FF00B050"/>
        <rFont val="Calibri"/>
        <family val="2"/>
        <scheme val="minor"/>
      </rPr>
      <t>(1.5%)</t>
    </r>
  </si>
  <si>
    <r>
      <t xml:space="preserve">SBI Cashback
</t>
    </r>
    <r>
      <rPr>
        <sz val="12"/>
        <color rgb="FF00B050"/>
        <rFont val="Calibri"/>
        <family val="2"/>
        <scheme val="minor"/>
      </rPr>
      <t>(0.87%)</t>
    </r>
  </si>
  <si>
    <r>
      <t xml:space="preserve">Axis Airtel
</t>
    </r>
    <r>
      <rPr>
        <sz val="12"/>
        <color rgb="FF00B050"/>
        <rFont val="Calibri"/>
        <family val="2"/>
        <scheme val="minor"/>
      </rPr>
      <t>(10%)</t>
    </r>
  </si>
  <si>
    <r>
      <t xml:space="preserve">SC Smart
</t>
    </r>
    <r>
      <rPr>
        <sz val="12"/>
        <color rgb="FF00B050"/>
        <rFont val="Calibri"/>
        <family val="2"/>
        <scheme val="minor"/>
      </rPr>
      <t>(2%)</t>
    </r>
  </si>
  <si>
    <r>
      <t xml:space="preserve">AU Xcite (7.5%) / ICICI Amazon Pay </t>
    </r>
    <r>
      <rPr>
        <sz val="12"/>
        <color rgb="FF00B050"/>
        <rFont val="Calibri"/>
        <family val="2"/>
        <scheme val="minor"/>
      </rPr>
      <t>(5%)</t>
    </r>
  </si>
  <si>
    <r>
      <t xml:space="preserve">AU Xcite 
</t>
    </r>
    <r>
      <rPr>
        <sz val="12"/>
        <color rgb="FF00B050"/>
        <rFont val="Calibri"/>
        <family val="2"/>
        <scheme val="minor"/>
      </rPr>
      <t xml:space="preserve">(7.5%) </t>
    </r>
  </si>
  <si>
    <r>
      <t xml:space="preserve">RBL IndianOil Xtra
</t>
    </r>
    <r>
      <rPr>
        <sz val="12"/>
        <color rgb="FF00B050"/>
        <rFont val="Calibri"/>
        <family val="2"/>
        <scheme val="minor"/>
      </rPr>
      <t>(7.5%)</t>
    </r>
  </si>
  <si>
    <r>
      <t xml:space="preserve">Axis Hoorizon
</t>
    </r>
    <r>
      <rPr>
        <sz val="12"/>
        <color rgb="FF00B050"/>
        <rFont val="Calibri"/>
        <family val="2"/>
        <scheme val="minor"/>
      </rPr>
      <t>(10%)</t>
    </r>
  </si>
  <si>
    <r>
      <t xml:space="preserve">Axis Hoorizon
</t>
    </r>
    <r>
      <rPr>
        <sz val="12"/>
        <color rgb="FF00B050"/>
        <rFont val="Calibri"/>
        <family val="2"/>
        <scheme val="minor"/>
      </rPr>
      <t>(2%)</t>
    </r>
  </si>
  <si>
    <r>
      <t xml:space="preserve">HDFC Regalia Gold
</t>
    </r>
    <r>
      <rPr>
        <sz val="12"/>
        <color rgb="FF00B050"/>
        <rFont val="Calibri"/>
        <family val="2"/>
        <scheme val="minor"/>
      </rPr>
      <t>(6.66%)</t>
    </r>
  </si>
  <si>
    <r>
      <t xml:space="preserve">Axis Hoorizon
</t>
    </r>
    <r>
      <rPr>
        <sz val="12"/>
        <color rgb="FF00B050"/>
        <rFont val="Calibri"/>
        <family val="2"/>
        <scheme val="minor"/>
      </rPr>
      <t xml:space="preserve">(2%) </t>
    </r>
    <r>
      <rPr>
        <sz val="12"/>
        <color theme="1"/>
        <rFont val="Calibri"/>
        <family val="2"/>
        <scheme val="minor"/>
      </rPr>
      <t>/ BOB ETERNA</t>
    </r>
    <r>
      <rPr>
        <sz val="12"/>
        <color rgb="FF00B050"/>
        <rFont val="Calibri"/>
        <family val="2"/>
        <scheme val="minor"/>
      </rPr>
      <t>(3.75%)</t>
    </r>
  </si>
  <si>
    <r>
      <t xml:space="preserve">RBL World safari
</t>
    </r>
    <r>
      <rPr>
        <sz val="12"/>
        <color rgb="FF00B050"/>
        <rFont val="Calibri"/>
        <family val="2"/>
        <scheme val="minor"/>
      </rPr>
      <t>(0.5%)</t>
    </r>
  </si>
  <si>
    <r>
      <t xml:space="preserve">AU Vetta
</t>
    </r>
    <r>
      <rPr>
        <sz val="12"/>
        <color rgb="FF00B050"/>
        <rFont val="Calibri"/>
        <family val="2"/>
        <scheme val="minor"/>
      </rPr>
      <t>(2.5%)</t>
    </r>
  </si>
  <si>
    <r>
      <t xml:space="preserve">HDFC Regalia Gold
</t>
    </r>
    <r>
      <rPr>
        <sz val="12"/>
        <color rgb="FF00B050"/>
        <rFont val="Calibri"/>
        <family val="2"/>
        <scheme val="minor"/>
      </rPr>
      <t>(1.33%)</t>
    </r>
  </si>
  <si>
    <r>
      <t xml:space="preserve">Kotak white
</t>
    </r>
    <r>
      <rPr>
        <sz val="12"/>
        <color rgb="FF00B050"/>
        <rFont val="Calibri"/>
        <family val="2"/>
        <scheme val="minor"/>
      </rPr>
      <t>(1%)</t>
    </r>
  </si>
  <si>
    <r>
      <t xml:space="preserve">RBL World safari
</t>
    </r>
    <r>
      <rPr>
        <sz val="12"/>
        <color rgb="FF00B050"/>
        <rFont val="Calibri"/>
        <family val="2"/>
        <scheme val="minor"/>
      </rPr>
      <t>(0%)</t>
    </r>
  </si>
  <si>
    <r>
      <t>BOB Eterna
(</t>
    </r>
    <r>
      <rPr>
        <sz val="12"/>
        <color rgb="FF00B050"/>
        <rFont val="Calibri"/>
        <family val="2"/>
        <scheme val="minor"/>
      </rPr>
      <t>3.75%)</t>
    </r>
  </si>
  <si>
    <r>
      <t xml:space="preserve">BOB Eterna
</t>
    </r>
    <r>
      <rPr>
        <sz val="12"/>
        <color rgb="FF00B050"/>
        <rFont val="Calibri"/>
        <family val="2"/>
        <scheme val="minor"/>
      </rPr>
      <t>(3.75%)</t>
    </r>
  </si>
  <si>
    <r>
      <t xml:space="preserve">BOB Eterna
</t>
    </r>
    <r>
      <rPr>
        <sz val="12"/>
        <color rgb="FF00B050"/>
        <rFont val="Calibri"/>
        <family val="2"/>
        <scheme val="minor"/>
      </rPr>
      <t>(0.75%)</t>
    </r>
  </si>
  <si>
    <r>
      <t xml:space="preserve">Jupiter CSB Rupay
</t>
    </r>
    <r>
      <rPr>
        <sz val="12"/>
        <color rgb="FF00B050"/>
        <rFont val="Calibri"/>
        <family val="2"/>
        <scheme val="minor"/>
      </rPr>
      <t>(2%)</t>
    </r>
    <r>
      <rPr>
        <sz val="12"/>
        <color theme="1"/>
        <rFont val="Calibri"/>
        <family val="2"/>
        <scheme val="minor"/>
      </rPr>
      <t xml:space="preserve"> / Kiwi</t>
    </r>
  </si>
  <si>
    <t>Overall Best Performers</t>
  </si>
  <si>
    <t>AMEX Gold Charge - upto 72k spends in a year
SBI Cashback credit card upto 1L spends in a year</t>
  </si>
  <si>
    <t>AMEX Platinum Travel - Counted for Milestone
SC Smart - Good for Almost all the Excluded categories by many banks</t>
  </si>
  <si>
    <t>RBL IndianOil XTRA - 7.5% + 1% Fuel Surcharge</t>
  </si>
  <si>
    <t xml:space="preserve">Food &amp; dining </t>
  </si>
  <si>
    <t>Indusind Eazydiner Signature credit card
HSBC Live +</t>
  </si>
  <si>
    <t>Grocery (Online + Offline)</t>
  </si>
  <si>
    <t>HSBC Live + - 10%</t>
  </si>
  <si>
    <t>Movies &amp; Entertainment</t>
  </si>
  <si>
    <t>International Txns and Forex mark up fee</t>
  </si>
  <si>
    <t>AMEX Platinum Travel/ AMEX Gold Charge / AMEX MRCC</t>
  </si>
  <si>
    <t>UPI Payments</t>
  </si>
  <si>
    <t>Axis Airtel Rupay / Jupiter CSB Rupay</t>
  </si>
  <si>
    <t>Best Alternative(s)</t>
  </si>
  <si>
    <t>ICICI Amazon Pay</t>
  </si>
  <si>
    <t>Airtel Recharge &amp; Utility Bills</t>
  </si>
  <si>
    <t>Axis Airtel - 25% , 10%</t>
  </si>
  <si>
    <t>AXIS Horizon</t>
  </si>
  <si>
    <t>2 Free Tkts worth ₹400 each on BMS once a month</t>
  </si>
  <si>
    <t>AU Zenith+</t>
  </si>
  <si>
    <t>FEDERAL Celesta</t>
  </si>
  <si>
    <t>HDFC Pixel Play</t>
  </si>
  <si>
    <t>HDFC TNI</t>
  </si>
  <si>
    <t>HDFC TN +</t>
  </si>
  <si>
    <t>Domesti &amp; International Airport Lounge Access</t>
  </si>
  <si>
    <t>HDFC INFINIA / DCB</t>
  </si>
  <si>
    <t xml:space="preserve">HDFC TNI / HDFC TN + </t>
  </si>
  <si>
    <t>Axis Ace</t>
  </si>
  <si>
    <t>IDFC Power + / HDFC IndianOil</t>
  </si>
  <si>
    <t>HDFC BIZ Black Metal</t>
  </si>
  <si>
    <t>Federal Scapia</t>
  </si>
  <si>
    <t>AMEX Gold charge</t>
  </si>
  <si>
    <t>AMEX Gold charge / MRCC</t>
  </si>
  <si>
    <t>Indusind EazyDiner Platinum</t>
  </si>
  <si>
    <t>AMEX Cards</t>
  </si>
  <si>
    <t>FEDERAL Scapia</t>
  </si>
  <si>
    <t>Bank wise Best credit cards</t>
  </si>
  <si>
    <t>AU SFB</t>
  </si>
  <si>
    <t>AXIS Bank</t>
  </si>
  <si>
    <t>HDFC INFINIA / DCB / BIZ Black</t>
  </si>
  <si>
    <t>ICICI Platinum / coral Rupay</t>
  </si>
  <si>
    <t xml:space="preserve">SBI </t>
  </si>
  <si>
    <t>SBI Air India Signature</t>
  </si>
  <si>
    <t>IDFC WOW</t>
  </si>
  <si>
    <t>BOB</t>
  </si>
  <si>
    <t>Eterna / Tiara</t>
  </si>
  <si>
    <t>snapdeal</t>
  </si>
  <si>
    <t>Premier</t>
  </si>
  <si>
    <t>LIVE +</t>
  </si>
  <si>
    <t>Visa Platinum</t>
  </si>
  <si>
    <t>SC</t>
  </si>
  <si>
    <t>AMEX</t>
  </si>
  <si>
    <t>Gold Charge</t>
  </si>
  <si>
    <t>Platinum Travel</t>
  </si>
  <si>
    <t>MRCC</t>
  </si>
  <si>
    <t>Indusind</t>
  </si>
  <si>
    <t>Eazydiner Signature</t>
  </si>
  <si>
    <t>RESERVE</t>
  </si>
  <si>
    <t>First Business</t>
  </si>
  <si>
    <t>IndianOil XTRA</t>
  </si>
  <si>
    <t>Shoprite Rupay</t>
  </si>
  <si>
    <t>Fintech Cards</t>
  </si>
  <si>
    <t>IndiGo 6E rewards XL</t>
  </si>
  <si>
    <t>CELESTA</t>
  </si>
  <si>
    <t>Capia</t>
  </si>
  <si>
    <t>Lifetime Free Credit Cards (FEB 2025)</t>
  </si>
  <si>
    <t>Indusind EazyDiner
Platinum</t>
  </si>
  <si>
    <t>AU Instapay</t>
  </si>
  <si>
    <t>YES Rupay(kilck)</t>
  </si>
  <si>
    <t>Indusind Legend</t>
  </si>
  <si>
    <t>HDFC PIXEL PLAY</t>
  </si>
  <si>
    <t>Kotak 811 / Rupay</t>
  </si>
  <si>
    <t>HSBC Premier (Only for premier Banking Customers)</t>
  </si>
  <si>
    <t>Yes</t>
  </si>
  <si>
    <t>No</t>
  </si>
  <si>
    <t>Spends Required?</t>
  </si>
  <si>
    <t>Domestic Airport Lounge Access per Qtr</t>
  </si>
  <si>
    <t>Railway Lounge Access per Qtr</t>
  </si>
  <si>
    <t>HDFC INFINIA / DCB / Biz Black / ICICI Emerald Private MetalMetal, HSBC Premier</t>
  </si>
  <si>
    <t>International Airport Lounge Access per Yr</t>
  </si>
  <si>
    <t>List of RuPay credit cards For UPI Payments</t>
  </si>
  <si>
    <t>Reward Rate(RR)</t>
  </si>
  <si>
    <t>Min Txn Amount Req</t>
  </si>
  <si>
    <t>5X RP per Rs. 100 on sel categories, 1 RP on all other categories, 0.5% on card Bill payments, UPI</t>
  </si>
  <si>
    <t>YES Rupay</t>
  </si>
  <si>
    <r>
      <t xml:space="preserve">This card is only useful if you Transfer points and regularly use the Travel Edge portal for ur Travel related spends
</t>
    </r>
    <r>
      <rPr>
        <sz val="11"/>
        <color rgb="FFC00000"/>
        <rFont val="Calibri"/>
        <family val="2"/>
        <scheme val="minor"/>
      </rPr>
      <t>- Avoid -</t>
    </r>
  </si>
  <si>
    <r>
      <t xml:space="preserve">Tier based and a bit complicated Reward structure, Good card for Travel and suitable for people who can play Miles Game well
</t>
    </r>
    <r>
      <rPr>
        <sz val="11"/>
        <color rgb="FF00B050"/>
        <rFont val="Calibri"/>
        <family val="2"/>
        <scheme val="minor"/>
      </rPr>
      <t>- Consider -</t>
    </r>
  </si>
  <si>
    <r>
      <t xml:space="preserve">A good card for Travellers with No complications
</t>
    </r>
    <r>
      <rPr>
        <sz val="11"/>
        <color rgb="FF00B050"/>
        <rFont val="Calibri"/>
        <family val="2"/>
        <scheme val="minor"/>
      </rPr>
      <t>- Consider -</t>
    </r>
  </si>
  <si>
    <r>
      <t xml:space="preserve">There are some alternatives
</t>
    </r>
    <r>
      <rPr>
        <sz val="11"/>
        <color rgb="FFC00000"/>
        <rFont val="Calibri"/>
        <family val="2"/>
        <scheme val="minor"/>
      </rPr>
      <t>- Avoid -</t>
    </r>
  </si>
  <si>
    <r>
      <rPr>
        <sz val="11"/>
        <color rgb="FF00B050"/>
        <rFont val="Calibri"/>
        <family val="2"/>
        <scheme val="minor"/>
      </rPr>
      <t>Consider</t>
    </r>
    <r>
      <rPr>
        <sz val="11"/>
        <color rgb="FF003300"/>
        <rFont val="Calibri"/>
        <family val="2"/>
        <scheme val="minor"/>
      </rPr>
      <t xml:space="preserve"> this card only if you spend </t>
    </r>
    <r>
      <rPr>
        <sz val="11"/>
        <color rgb="FFC00000"/>
        <rFont val="Calibri"/>
        <family val="2"/>
        <scheme val="minor"/>
      </rPr>
      <t>more than ₹1 Lakh</t>
    </r>
    <r>
      <rPr>
        <sz val="11"/>
        <color rgb="FF003300"/>
        <rFont val="Calibri"/>
        <family val="2"/>
        <scheme val="minor"/>
      </rPr>
      <t xml:space="preserve"> regularly on Flipkart or frequent cleartrip user</t>
    </r>
  </si>
  <si>
    <r>
      <t xml:space="preserve">Except Tap &amp; Pay Cashback and 1.5% on offline spends Nothing is Left in this card
</t>
    </r>
    <r>
      <rPr>
        <sz val="11"/>
        <color rgb="FFC00000"/>
        <rFont val="Calibri"/>
        <family val="2"/>
        <scheme val="minor"/>
      </rPr>
      <t>- Avoid -</t>
    </r>
  </si>
  <si>
    <r>
      <t xml:space="preserve">it's currently, the </t>
    </r>
    <r>
      <rPr>
        <sz val="11"/>
        <color rgb="FF00B050"/>
        <rFont val="Calibri"/>
        <family val="2"/>
        <scheme val="minor"/>
      </rPr>
      <t xml:space="preserve">best </t>
    </r>
    <r>
      <rPr>
        <sz val="11"/>
        <color rgb="FF003300"/>
        <rFont val="Calibri"/>
        <family val="2"/>
        <scheme val="minor"/>
      </rPr>
      <t xml:space="preserve">card for Airtel Recharge and utility bill payments through Airtel Thanks app
</t>
    </r>
    <r>
      <rPr>
        <sz val="11"/>
        <color rgb="FF00B050"/>
        <rFont val="Calibri"/>
        <family val="2"/>
        <scheme val="minor"/>
      </rPr>
      <t xml:space="preserve">- Highly Recommended - </t>
    </r>
  </si>
  <si>
    <r>
      <t xml:space="preserve">It's good for Swiggy offer and Movie tkts, </t>
    </r>
    <r>
      <rPr>
        <sz val="11"/>
        <color rgb="FF00B050"/>
        <rFont val="Calibri"/>
        <family val="2"/>
        <scheme val="minor"/>
      </rPr>
      <t>Consider if LTF</t>
    </r>
  </si>
  <si>
    <r>
      <t xml:space="preserve">Useless card
</t>
    </r>
    <r>
      <rPr>
        <sz val="11"/>
        <color rgb="FFC00000"/>
        <rFont val="Calibri"/>
        <family val="2"/>
        <scheme val="minor"/>
      </rPr>
      <t>- Avoid -</t>
    </r>
  </si>
  <si>
    <r>
      <t xml:space="preserve">Consider this card if u use Ixigo for ur Bookings &amp; UPI &amp; 0 Forex charges
- </t>
    </r>
    <r>
      <rPr>
        <sz val="11"/>
        <color rgb="FF00B050"/>
        <rFont val="Calibri"/>
        <family val="2"/>
        <scheme val="minor"/>
      </rPr>
      <t>Highly Recommended -</t>
    </r>
  </si>
  <si>
    <r>
      <rPr>
        <sz val="11"/>
        <color rgb="FFC00000"/>
        <rFont val="Calibri"/>
        <family val="2"/>
        <scheme val="minor"/>
      </rPr>
      <t xml:space="preserve">Avoid </t>
    </r>
    <r>
      <rPr>
        <sz val="11"/>
        <color rgb="FF003300"/>
        <rFont val="Calibri"/>
        <family val="2"/>
        <scheme val="minor"/>
      </rPr>
      <t xml:space="preserve">Xcite and Xcite Ace
</t>
    </r>
    <r>
      <rPr>
        <sz val="11"/>
        <color rgb="FF00B050"/>
        <rFont val="Calibri"/>
        <family val="2"/>
        <scheme val="minor"/>
      </rPr>
      <t>Consider</t>
    </r>
    <r>
      <rPr>
        <sz val="11"/>
        <color rgb="FF003300"/>
        <rFont val="Calibri"/>
        <family val="2"/>
        <scheme val="minor"/>
      </rPr>
      <t xml:space="preserve"> Xcite ultra</t>
    </r>
  </si>
  <si>
    <r>
      <t xml:space="preserve">If you are a SmartBuy user and spend heavily on the SmartBuy portal, Try to get these cards. If you don't use SmartBuy, Avoid, </t>
    </r>
    <r>
      <rPr>
        <sz val="11"/>
        <color rgb="FFC00000"/>
        <rFont val="Calibri"/>
        <family val="2"/>
        <scheme val="minor"/>
      </rPr>
      <t xml:space="preserve"> there are some alternatives.</t>
    </r>
  </si>
  <si>
    <r>
      <t>Consider this card if you are getting it as LTF,</t>
    </r>
    <r>
      <rPr>
        <sz val="11"/>
        <color rgb="FF00B050"/>
        <rFont val="Calibri"/>
        <family val="2"/>
        <scheme val="minor"/>
      </rPr>
      <t xml:space="preserve"> it's good for lounge access</t>
    </r>
  </si>
  <si>
    <t>IMO, it's the most underrated card, it's a very good card for booking flight, Hotel via smartbuy and dining 
- Consider if LTF -</t>
  </si>
  <si>
    <r>
      <t xml:space="preserve">It's a Good alternative for SBI Cashback and hdfc swiggy cards and </t>
    </r>
    <r>
      <rPr>
        <sz val="11"/>
        <color theme="9" tint="-0.249977111117893"/>
        <rFont val="Calibri"/>
        <family val="2"/>
        <scheme val="minor"/>
      </rPr>
      <t>works for Instant discount</t>
    </r>
    <r>
      <rPr>
        <sz val="11"/>
        <color rgb="FF003300"/>
        <rFont val="Calibri"/>
        <family val="2"/>
        <scheme val="minor"/>
      </rPr>
      <t xml:space="preserve"> offers
</t>
    </r>
    <r>
      <rPr>
        <sz val="11"/>
        <color rgb="FF00B050"/>
        <rFont val="Calibri"/>
        <family val="2"/>
        <scheme val="minor"/>
      </rPr>
      <t>- Consider if LTF -</t>
    </r>
  </si>
  <si>
    <r>
      <t xml:space="preserve">Ideal for IndianOil customers, this card provides fuel surcharge waivers and reward points that can offset fuel costs.  </t>
    </r>
    <r>
      <rPr>
        <sz val="11"/>
        <color rgb="FFC00000"/>
        <rFont val="Calibri"/>
        <family val="2"/>
        <scheme val="minor"/>
      </rPr>
      <t>This card is only suitable for two-wheeler users because you get limited valueback.</t>
    </r>
  </si>
  <si>
    <r>
      <t xml:space="preserve">This card is best for those who regularly spend within the </t>
    </r>
    <r>
      <rPr>
        <sz val="11"/>
        <color theme="9" tint="-0.249977111117893"/>
        <rFont val="Calibri"/>
        <family val="2"/>
        <scheme val="minor"/>
      </rPr>
      <t xml:space="preserve">TATA </t>
    </r>
    <r>
      <rPr>
        <sz val="11"/>
        <color rgb="FF003300"/>
        <rFont val="Calibri"/>
        <family val="2"/>
        <scheme val="minor"/>
      </rPr>
      <t>universe, maximizing its NeuCoin rewards and exclusive offers</t>
    </r>
  </si>
  <si>
    <r>
      <t xml:space="preserve">Consider this card if you are a swiggy user and need a card for regular online shopping &amp; Txns
</t>
    </r>
    <r>
      <rPr>
        <sz val="11"/>
        <color rgb="FF00B050"/>
        <rFont val="Calibri"/>
        <family val="2"/>
        <scheme val="minor"/>
      </rPr>
      <t xml:space="preserve">- Highly Recommended - </t>
    </r>
  </si>
  <si>
    <r>
      <rPr>
        <sz val="11"/>
        <color rgb="FF003300"/>
        <rFont val="Calibri"/>
        <family val="2"/>
        <scheme val="minor"/>
      </rPr>
      <t>Best card for Train Tickets Booking</t>
    </r>
    <r>
      <rPr>
        <sz val="11"/>
        <color rgb="FF00B050"/>
        <rFont val="Calibri"/>
        <family val="2"/>
        <scheme val="minor"/>
      </rPr>
      <t xml:space="preserve">
- Highly Recommended - </t>
    </r>
  </si>
  <si>
    <r>
      <t xml:space="preserve">Best card for Business spends and Travel &amp; Tax payments
</t>
    </r>
    <r>
      <rPr>
        <sz val="11"/>
        <color rgb="FF00B050"/>
        <rFont val="Calibri"/>
        <family val="2"/>
        <scheme val="minor"/>
      </rPr>
      <t xml:space="preserve">- Highly Recommended - </t>
    </r>
  </si>
  <si>
    <t>An Alternate option for HDFC INFINIA For Regular spends</t>
  </si>
  <si>
    <r>
      <rPr>
        <sz val="11"/>
        <color rgb="FF00B050"/>
        <rFont val="Calibri"/>
        <family val="2"/>
        <scheme val="minor"/>
      </rPr>
      <t>Strongly Recommended for Beginners</t>
    </r>
    <r>
      <rPr>
        <sz val="11"/>
        <color rgb="FF003300"/>
        <rFont val="Calibri"/>
        <family val="2"/>
        <scheme val="minor"/>
      </rPr>
      <t>, it's a good card for Online shopping on Amazon and miscellaneous Spends</t>
    </r>
  </si>
  <si>
    <r>
      <t xml:space="preserve"> Consider it if u get this card as LTF and it is</t>
    </r>
    <r>
      <rPr>
        <sz val="11"/>
        <color rgb="FF00B050"/>
        <rFont val="Calibri"/>
        <family val="2"/>
        <scheme val="minor"/>
      </rPr>
      <t xml:space="preserve"> useful for ICICI card offers during sales</t>
    </r>
    <r>
      <rPr>
        <sz val="11"/>
        <color rgb="FF003300"/>
        <rFont val="Calibri"/>
        <family val="2"/>
        <scheme val="minor"/>
      </rPr>
      <t xml:space="preserve"> and we can use this card for UPI Payments as well.</t>
    </r>
  </si>
  <si>
    <r>
      <t>Currently, this is best card for Online Txns without any merchant restrictions, i</t>
    </r>
    <r>
      <rPr>
        <sz val="11"/>
        <color rgb="FF00B050"/>
        <rFont val="Calibri"/>
        <family val="2"/>
        <scheme val="minor"/>
      </rPr>
      <t>t's  a must-have card in ur portfolio</t>
    </r>
  </si>
  <si>
    <r>
      <t>Consider this card for</t>
    </r>
    <r>
      <rPr>
        <sz val="11"/>
        <color rgb="FF00B050"/>
        <rFont val="Calibri"/>
        <family val="2"/>
        <scheme val="minor"/>
      </rPr>
      <t xml:space="preserve"> SBI instant discount offer</t>
    </r>
    <r>
      <rPr>
        <sz val="11"/>
        <color rgb="FF003300"/>
        <rFont val="Calibri"/>
        <family val="2"/>
        <scheme val="minor"/>
      </rPr>
      <t>s and sales</t>
    </r>
  </si>
  <si>
    <t>It's one of the best cards for Fuel spends at BPCL Outlets</t>
  </si>
  <si>
    <r>
      <t xml:space="preserve">Consider these cards only if you are a high spender and can fully utilize all the lifestyle benefits; otherwise, </t>
    </r>
    <r>
      <rPr>
        <sz val="11"/>
        <color rgb="FFC00000"/>
        <rFont val="Calibri"/>
        <family val="2"/>
        <scheme val="minor"/>
      </rPr>
      <t>these cards are not recommended</t>
    </r>
  </si>
  <si>
    <r>
      <t xml:space="preserve">Try to get either the IDFC Wealth or Select Credit Card, as both are LTF and useful for occasional offers.
</t>
    </r>
    <r>
      <rPr>
        <sz val="11"/>
        <color rgb="FF00B050"/>
        <rFont val="Calibri"/>
        <family val="2"/>
        <scheme val="minor"/>
      </rPr>
      <t>- Consider -</t>
    </r>
  </si>
  <si>
    <r>
      <t xml:space="preserve"> it's a good card for fuel, Grocery, Utility payments
</t>
    </r>
    <r>
      <rPr>
        <sz val="11"/>
        <color rgb="FF00B050"/>
        <rFont val="Calibri"/>
        <family val="2"/>
        <scheme val="minor"/>
      </rPr>
      <t>- Consider -</t>
    </r>
  </si>
  <si>
    <r>
      <t xml:space="preserve">Good card for Fuel spends , </t>
    </r>
    <r>
      <rPr>
        <sz val="11"/>
        <color rgb="FF00B050"/>
        <rFont val="Calibri"/>
        <family val="2"/>
        <scheme val="minor"/>
      </rPr>
      <t>Consider this card if LTF</t>
    </r>
  </si>
  <si>
    <t>This card offers instant discounts in various Travel sites and Apps and a descent RR</t>
  </si>
  <si>
    <r>
      <t xml:space="preserve">Stay away from this card, </t>
    </r>
    <r>
      <rPr>
        <sz val="11"/>
        <color rgb="FF00B050"/>
        <rFont val="Calibri"/>
        <family val="2"/>
        <scheme val="minor"/>
      </rPr>
      <t>consider this card if you are HSBC Premier customer</t>
    </r>
  </si>
  <si>
    <r>
      <t xml:space="preserve">A descent card for offline spends and Grocery food &amp; dining but Rs. 1000 per month limit is very low in my opinion and after upper cap the overall return may reduce to 2.4% 
</t>
    </r>
    <r>
      <rPr>
        <sz val="11"/>
        <color rgb="FF00B050"/>
        <rFont val="Calibri"/>
        <family val="2"/>
        <scheme val="minor"/>
      </rPr>
      <t>- - Consider -</t>
    </r>
  </si>
  <si>
    <r>
      <t xml:space="preserve">This is a good card for Most of excluded categories like Rent etc and offers a descent Return  and you will get your Joining / Annual fee back as Rewards but </t>
    </r>
    <r>
      <rPr>
        <sz val="11"/>
        <color rgb="FFC00000"/>
        <rFont val="Calibri"/>
        <family val="2"/>
        <scheme val="minor"/>
      </rPr>
      <t>the problem with this card is the famous and mostly used vouchers like Amazon, flipkart are not available.</t>
    </r>
  </si>
  <si>
    <r>
      <t xml:space="preserve">Using these 3 cards together gives you an amazing Return and if we consider AMEX Rewards multiplier the return even increases and Consider AMEX platinum travel CC only for up to 4 Lakh spends ang Gold charge card for 72k in a year
these cards also offer good Return on Fuel spends but make sure the Fuel outlets near you accept AMEX cards
</t>
    </r>
    <r>
      <rPr>
        <sz val="11"/>
        <color rgb="FFC00000"/>
        <rFont val="Calibri"/>
        <family val="2"/>
        <scheme val="minor"/>
      </rPr>
      <t xml:space="preserve">The only problem with AMEX Cards is acceptancy </t>
    </r>
  </si>
  <si>
    <r>
      <t xml:space="preserve">Consider this card if you get it with low joining fee and it will </t>
    </r>
    <r>
      <rPr>
        <sz val="11"/>
        <color rgb="FF00B050"/>
        <rFont val="Calibri"/>
        <family val="2"/>
        <scheme val="minor"/>
      </rPr>
      <t>get u Indusind Exclusive Account with 0 MAB</t>
    </r>
  </si>
  <si>
    <r>
      <t xml:space="preserve">this is a good card for Lounge access and High spends
</t>
    </r>
    <r>
      <rPr>
        <sz val="11"/>
        <color rgb="FF00B050"/>
        <rFont val="Calibri"/>
        <family val="2"/>
        <scheme val="minor"/>
      </rPr>
      <t>- Consider -</t>
    </r>
  </si>
  <si>
    <r>
      <t xml:space="preserve">This is the best card from YES Bank and has a strong Reward rate -
</t>
    </r>
    <r>
      <rPr>
        <sz val="11"/>
        <color rgb="FF00B050"/>
        <rFont val="Calibri"/>
        <family val="2"/>
        <scheme val="minor"/>
      </rPr>
      <t xml:space="preserve">- Highly Recommended - </t>
    </r>
  </si>
  <si>
    <r>
      <t xml:space="preserve">It's a descent card and the renewal fee will also be covered with bonus 8000 RP so, you can consider this card for general use
</t>
    </r>
    <r>
      <rPr>
        <i/>
        <sz val="11"/>
        <color rgb="FF00B050"/>
        <rFont val="Calibri"/>
        <family val="2"/>
        <scheme val="minor"/>
      </rPr>
      <t>- Consider -</t>
    </r>
  </si>
  <si>
    <r>
      <t xml:space="preserve">Consider this card if LTF and if you do International Txns and can reach Milestones
</t>
    </r>
    <r>
      <rPr>
        <sz val="11"/>
        <color rgb="FF00B050"/>
        <rFont val="Calibri"/>
        <family val="2"/>
        <scheme val="minor"/>
      </rPr>
      <t>- Consider -</t>
    </r>
  </si>
  <si>
    <r>
      <t xml:space="preserve">Best card for fuel at IndianOil outlets however do check if ur nearest Indianoil outlest accepts Fuel points redemption
</t>
    </r>
    <r>
      <rPr>
        <sz val="11"/>
        <color rgb="FF00B050"/>
        <rFont val="Calibri"/>
        <family val="2"/>
        <scheme val="minor"/>
      </rPr>
      <t>- Consider -</t>
    </r>
  </si>
  <si>
    <r>
      <t xml:space="preserve">This card offers excellent lounge access and a good reward rate on other transactions. However, Scapia Coins can only be redeemed for travel bookings within the Scapia app.  If you're a Scapia user and travel frequently, consider this card. </t>
    </r>
    <r>
      <rPr>
        <sz val="11"/>
        <color rgb="FFFF0000"/>
        <rFont val="Calibri"/>
        <family val="2"/>
        <scheme val="minor"/>
      </rPr>
      <t>(Note: This card is currently not available as per RBI Guidelines)</t>
    </r>
  </si>
  <si>
    <t xml:space="preserve">HDFC Mariot Bonvoy
</t>
  </si>
  <si>
    <t xml:space="preserve">Axis Atlas
</t>
  </si>
  <si>
    <t>HDFC  Credit Cards Reward Rate &amp; ROI Calculation</t>
  </si>
  <si>
    <t>AMEX Credit Cards Reward Rate &amp; ROI Calculation</t>
  </si>
  <si>
    <t>Regular Spends</t>
  </si>
  <si>
    <t>SmartBuy(10X)</t>
  </si>
  <si>
    <r>
      <t xml:space="preserve">A monthly cap of </t>
    </r>
    <r>
      <rPr>
        <sz val="11"/>
        <color rgb="FFFF0000"/>
        <rFont val="Calibri"/>
        <family val="2"/>
        <scheme val="minor"/>
      </rPr>
      <t>15,000</t>
    </r>
    <r>
      <rPr>
        <sz val="11"/>
        <color theme="1"/>
        <rFont val="Calibri"/>
        <family val="2"/>
        <scheme val="minor"/>
      </rPr>
      <t xml:space="preserve"> RP on accelerated rewards earned through SmartBuy
Max </t>
    </r>
    <r>
      <rPr>
        <sz val="11"/>
        <color rgb="FFFF0000"/>
        <rFont val="Calibri"/>
        <family val="2"/>
        <scheme val="minor"/>
      </rPr>
      <t>200000</t>
    </r>
    <r>
      <rPr>
        <sz val="11"/>
        <color theme="1"/>
        <rFont val="Calibri"/>
        <family val="2"/>
        <scheme val="minor"/>
      </rPr>
      <t xml:space="preserve"> RP can be earned in per month
only</t>
    </r>
    <r>
      <rPr>
        <sz val="11"/>
        <color rgb="FFFF0000"/>
        <rFont val="Calibri"/>
        <family val="2"/>
        <scheme val="minor"/>
      </rPr>
      <t xml:space="preserve"> 70%</t>
    </r>
    <r>
      <rPr>
        <sz val="11"/>
        <color theme="1"/>
        <rFont val="Calibri"/>
        <family val="2"/>
        <scheme val="minor"/>
      </rPr>
      <t xml:space="preserve"> of the booking amount can be redeemed through reward points
only </t>
    </r>
    <r>
      <rPr>
        <sz val="11"/>
        <color rgb="FFFF0000"/>
        <rFont val="Calibri"/>
        <family val="2"/>
        <scheme val="minor"/>
      </rPr>
      <t>70%</t>
    </r>
    <r>
      <rPr>
        <sz val="11"/>
        <color theme="1"/>
        <rFont val="Calibri"/>
        <family val="2"/>
        <scheme val="minor"/>
      </rPr>
      <t xml:space="preserve"> of the voucher value can be redeemed using reward points
only 1 Apple product/Quarter and 1 Tanishq Voucher per month, 
Max</t>
    </r>
    <r>
      <rPr>
        <sz val="11"/>
        <color rgb="FFFF0000"/>
        <rFont val="Calibri"/>
        <family val="2"/>
        <scheme val="minor"/>
      </rPr>
      <t xml:space="preserve"> 2000</t>
    </r>
    <r>
      <rPr>
        <sz val="11"/>
        <color theme="1"/>
        <rFont val="Calibri"/>
        <family val="2"/>
        <scheme val="minor"/>
      </rPr>
      <t xml:space="preserve"> RP on Grocery &amp; utility bills per month
Max </t>
    </r>
    <r>
      <rPr>
        <sz val="11"/>
        <color rgb="FFFF0000"/>
        <rFont val="Calibri"/>
        <family val="2"/>
        <scheme val="minor"/>
      </rPr>
      <t>5000</t>
    </r>
    <r>
      <rPr>
        <sz val="11"/>
        <color theme="1"/>
        <rFont val="Calibri"/>
        <family val="2"/>
        <scheme val="minor"/>
      </rPr>
      <t xml:space="preserve"> RP on Insuranceper day.</t>
    </r>
  </si>
  <si>
    <t>utilities &amp; Grocery</t>
  </si>
  <si>
    <t>Insurance &amp; Education</t>
  </si>
  <si>
    <t>Base RP per Rs.150</t>
  </si>
  <si>
    <t>Total Reward points</t>
  </si>
  <si>
    <t>Accelerated Reward points</t>
  </si>
  <si>
    <t>1 Reward point =</t>
  </si>
  <si>
    <t>Total Spends</t>
  </si>
  <si>
    <t>Welcome/Renewal Benefit RP</t>
  </si>
  <si>
    <t>Fee</t>
  </si>
  <si>
    <t>HDFC DCB</t>
  </si>
  <si>
    <t>Welcome and Renewal Benefits, Golf Privileges, Global Concierge Services, Complimentary  Memberships
10,000 Bonus RP on spends of ₹ 4 lakh every calendar quarter
2X RP on Weekend Dining
5 RP for every ₹150 spent on the card across all retail categories, including insurance, utilities, and education,
10X Reward Points on travel and shopping spends made through HDFC Bank's SmartBuy platform.</t>
  </si>
  <si>
    <t>1X: 75000 RP per month
10X: 10000 RP per month
2X: 1000 RP per day
Insurance: 5000 RP / day
Utility, Telecom, Grocery: 2000 RP per month
MAX 75000 RP can be earned per month and above 70% limit is also applicable.</t>
  </si>
  <si>
    <t>HDFC BIZ Black</t>
  </si>
  <si>
    <r>
      <t xml:space="preserve">welcome &amp; Milestone benefits, Golf access, Concierge Services
5 RP for every Rs.150 spent
5X Reward Points on your select Business spends such as
1. Bill Payment via Payzapp &amp; SmartPay
2. Income Tax/ Advance Tax payment via eportal.incometax.gov.in View steps. 
3. GST payment via payment.gst.gov.in view steps.
4. Hotel &amp; flight booking on MMT MyBiz powered by SmartBuy BizDeals
5. Business Productivity tools like Tally, Office 365, AWS, Google, Credflow, Azure &amp; more via SmartBuy BizDeals - Nuclei 
10X RP via SmartBuy
</t>
    </r>
    <r>
      <rPr>
        <sz val="11"/>
        <color rgb="FFFF0000"/>
        <rFont val="Calibri"/>
        <family val="2"/>
        <scheme val="minor"/>
      </rPr>
      <t>Note: 5X Reward Points applicable on minimum spends Rs. 50,000 in statement cycle.</t>
    </r>
  </si>
  <si>
    <t>Business Spends(5X)</t>
  </si>
  <si>
    <t>Milestone Voucher</t>
  </si>
  <si>
    <t>Welcome &amp; Milestone Benefits, Concierge Services,
₹ 1,500 worth vouchers on quarterly spends of Rs. 1.5 lakh
₹ 5,000 worth flight vouchers on annual spends of Rs. 5 lakh and an additional voucher of Rs. 5000 on spends of Rs. 7.5 lakhs.
4 RP for every ₹150 spent on retail purchases, 20(5X) RP for every ₹150 spent at Marks &amp; Spencer, Myntra, Nykaa, and Reliance Digital
  </t>
  </si>
  <si>
    <t>5X category</t>
  </si>
  <si>
    <t>SmartBuy(5X)</t>
  </si>
  <si>
    <t>HDFC Mariot Bonvoy</t>
  </si>
  <si>
    <t>5X category(Swiggy &amp; Zomato)</t>
  </si>
  <si>
    <t>3.75% if the milestone is achieved
3% if not</t>
  </si>
  <si>
    <t>Unlim</t>
  </si>
  <si>
    <t>UPI  App</t>
  </si>
  <si>
    <t>All</t>
  </si>
  <si>
    <t>AU 0101 App</t>
  </si>
  <si>
    <t>TATA Neu App</t>
  </si>
  <si>
    <t>Kiwi App</t>
  </si>
  <si>
    <t>Jupiter App</t>
  </si>
  <si>
    <t>Best Credit Cards &amp; Key Insights – 2025</t>
  </si>
  <si>
    <t>Online Shopping/Online Txns/Offline Txns/Utility Bills</t>
  </si>
  <si>
    <r>
      <rPr>
        <b/>
        <sz val="20"/>
        <color rgb="FFFF0000"/>
        <rFont val="Calibri"/>
        <family val="2"/>
        <scheme val="minor"/>
      </rPr>
      <t>Note:</t>
    </r>
    <r>
      <rPr>
        <b/>
        <sz val="20"/>
        <color theme="1"/>
        <rFont val="Calibri"/>
        <family val="2"/>
        <scheme val="minor"/>
      </rPr>
      <t xml:space="preserve">
1.</t>
    </r>
    <r>
      <rPr>
        <sz val="20"/>
        <color theme="1"/>
        <rFont val="Calibri"/>
        <family val="2"/>
        <scheme val="minor"/>
      </rPr>
      <t xml:space="preserve"> </t>
    </r>
    <r>
      <rPr>
        <b/>
        <sz val="20"/>
        <color theme="1"/>
        <rFont val="Calibri"/>
        <family val="2"/>
        <scheme val="minor"/>
      </rPr>
      <t xml:space="preserve">Fees and Reward Rates are Subject to Change – </t>
    </r>
    <r>
      <rPr>
        <sz val="20"/>
        <color theme="1"/>
        <rFont val="Calibri"/>
        <family val="2"/>
        <scheme val="minor"/>
      </rPr>
      <t xml:space="preserve">The values mentioned in this table are based on current data (as of February 2025) but may change at any time based on the bank’s decision. Always verify details on the bank’s official website before applying.
</t>
    </r>
    <r>
      <rPr>
        <b/>
        <sz val="20"/>
        <color theme="1"/>
        <rFont val="Calibri"/>
        <family val="2"/>
        <scheme val="minor"/>
      </rPr>
      <t>2. Reward Rate ≠ ROI –</t>
    </r>
    <r>
      <rPr>
        <sz val="20"/>
        <color theme="1"/>
        <rFont val="Calibri"/>
        <family val="2"/>
        <scheme val="minor"/>
      </rPr>
      <t xml:space="preserve"> The percentage provided here represents the Reward Rate (i.e., the percentage of rewards you earn per ₹100 spent). It does not account for the Annual Fee, Redemption Charges, or other hidden costs, which can reduce the actual Return on Investment (ROI) of a card.
</t>
    </r>
    <r>
      <rPr>
        <b/>
        <sz val="20"/>
        <color theme="1"/>
        <rFont val="Calibri"/>
        <family val="2"/>
        <scheme val="minor"/>
      </rPr>
      <t>3. Selection Criteria for Best Cards –</t>
    </r>
    <r>
      <rPr>
        <sz val="20"/>
        <color theme="1"/>
        <rFont val="Calibri"/>
        <family val="2"/>
        <scheme val="minor"/>
      </rPr>
      <t xml:space="preserve"> This list is not solely based on the highest reward rate but is optimized for better ROI and overall value. Some cards with slightly lower reward rates may be included because they provide higher real-world benefits after considering fees, redemption flexibility, and additional perks.
</t>
    </r>
    <r>
      <rPr>
        <b/>
        <sz val="20"/>
        <color theme="1"/>
        <rFont val="Calibri"/>
        <family val="2"/>
        <scheme val="minor"/>
      </rPr>
      <t>4.</t>
    </r>
    <r>
      <rPr>
        <sz val="20"/>
        <color theme="1"/>
        <rFont val="Calibri"/>
        <family val="2"/>
        <scheme val="minor"/>
      </rPr>
      <t xml:space="preserve"> </t>
    </r>
    <r>
      <rPr>
        <b/>
        <sz val="20"/>
        <color theme="1"/>
        <rFont val="Calibri"/>
        <family val="2"/>
        <scheme val="minor"/>
      </rPr>
      <t>Data Source &amp; Accuracy –</t>
    </r>
    <r>
      <rPr>
        <sz val="20"/>
        <color theme="1"/>
        <rFont val="Calibri"/>
        <family val="2"/>
        <scheme val="minor"/>
      </rPr>
      <t xml:space="preserve"> All information is accurate as of February 2025 and has been collected from official bank websites. However, policies and offers may change frequently, so always cross-check with the latest details before deciding.
</t>
    </r>
  </si>
  <si>
    <r>
      <rPr>
        <b/>
        <sz val="20"/>
        <color rgb="FFFF0000"/>
        <rFont val="Calibri"/>
        <family val="2"/>
        <scheme val="minor"/>
      </rPr>
      <t>Note:</t>
    </r>
    <r>
      <rPr>
        <b/>
        <sz val="20"/>
        <color theme="1"/>
        <rFont val="Calibri"/>
        <family val="2"/>
        <scheme val="minor"/>
      </rPr>
      <t xml:space="preserve">
1. </t>
    </r>
    <r>
      <rPr>
        <sz val="20"/>
        <color theme="1"/>
        <rFont val="Calibri"/>
        <family val="2"/>
        <scheme val="minor"/>
      </rPr>
      <t xml:space="preserve">These credit cards have no annual maintenance charges, but banks may introduce fees later.
</t>
    </r>
    <r>
      <rPr>
        <b/>
        <sz val="20"/>
        <color theme="1"/>
        <rFont val="Calibri"/>
        <family val="2"/>
        <scheme val="minor"/>
      </rPr>
      <t>2.</t>
    </r>
    <r>
      <rPr>
        <sz val="20"/>
        <color theme="1"/>
        <rFont val="Calibri"/>
        <family val="2"/>
        <scheme val="minor"/>
      </rPr>
      <t xml:space="preserve">The LTF status of a card is subject to change based on bank policies. Always check the official bank website before applying.
</t>
    </r>
    <r>
      <rPr>
        <b/>
        <sz val="20"/>
        <color theme="1"/>
        <rFont val="Calibri"/>
        <family val="2"/>
        <scheme val="minor"/>
      </rPr>
      <t>3.</t>
    </r>
    <r>
      <rPr>
        <sz val="20"/>
        <color theme="1"/>
        <rFont val="Calibri"/>
        <family val="2"/>
        <scheme val="minor"/>
      </rPr>
      <t xml:space="preserve"> Even if a card is LTF, other charges like forex markup, late payment fees, and redemption fees may apply.
</t>
    </r>
    <r>
      <rPr>
        <b/>
        <sz val="20"/>
        <color theme="1"/>
        <rFont val="Calibri"/>
        <family val="2"/>
        <scheme val="minor"/>
      </rPr>
      <t>4</t>
    </r>
    <r>
      <rPr>
        <sz val="20"/>
        <color theme="1"/>
        <rFont val="Calibri"/>
        <family val="2"/>
        <scheme val="minor"/>
      </rPr>
      <t xml:space="preserve">. Some cards are LTF only for select customers (such as premium banking customers or high-income individuals).
</t>
    </r>
    <r>
      <rPr>
        <b/>
        <sz val="20"/>
        <color theme="1"/>
        <rFont val="Calibri"/>
        <family val="2"/>
        <scheme val="minor"/>
      </rPr>
      <t>5</t>
    </r>
    <r>
      <rPr>
        <sz val="20"/>
        <color theme="1"/>
        <rFont val="Calibri"/>
        <family val="2"/>
        <scheme val="minor"/>
      </rPr>
      <t>. This list is based on publicly available information as of February 2025 and may change over time.</t>
    </r>
  </si>
  <si>
    <t>Below ₹1800</t>
  </si>
  <si>
    <t>Below ₹3600</t>
  </si>
  <si>
    <t>Below ₹6000</t>
  </si>
  <si>
    <t>Below ₹12500</t>
  </si>
  <si>
    <t>Below ₹15000</t>
  </si>
  <si>
    <r>
      <t xml:space="preserve">Note:
</t>
    </r>
    <r>
      <rPr>
        <b/>
        <sz val="26"/>
        <color theme="1"/>
        <rFont val="Calibri"/>
        <family val="2"/>
        <scheme val="minor"/>
      </rPr>
      <t>1.</t>
    </r>
    <r>
      <rPr>
        <sz val="26"/>
        <color theme="1"/>
        <rFont val="Calibri"/>
        <family val="2"/>
        <scheme val="minor"/>
      </rPr>
      <t xml:space="preserve"> Most premium, ultra-premium credit cards </t>
    </r>
    <r>
      <rPr>
        <b/>
        <sz val="26"/>
        <color theme="1"/>
        <rFont val="Calibri"/>
        <family val="2"/>
        <scheme val="minor"/>
      </rPr>
      <t>(with fees above ₹15,000)</t>
    </r>
    <r>
      <rPr>
        <sz val="26"/>
        <color theme="1"/>
        <rFont val="Calibri"/>
        <family val="2"/>
        <scheme val="minor"/>
      </rPr>
      <t xml:space="preserve"> have been excluded as they are </t>
    </r>
    <r>
      <rPr>
        <b/>
        <sz val="26"/>
        <color theme="1"/>
        <rFont val="Calibri"/>
        <family val="2"/>
        <scheme val="minor"/>
      </rPr>
      <t>invite-only or require a very high annual income</t>
    </r>
    <r>
      <rPr>
        <sz val="26"/>
        <color theme="1"/>
        <rFont val="Calibri"/>
        <family val="2"/>
        <scheme val="minor"/>
      </rPr>
      <t xml:space="preserve">. Examples: Axis Reserve, Axis Olympus, Magnus for Burgundy, YES Private, IDFC Private  etc.
</t>
    </r>
    <r>
      <rPr>
        <b/>
        <sz val="26"/>
        <color theme="1"/>
        <rFont val="Calibri"/>
        <family val="2"/>
        <scheme val="minor"/>
      </rPr>
      <t>2.</t>
    </r>
    <r>
      <rPr>
        <sz val="26"/>
        <color theme="1"/>
        <rFont val="Calibri"/>
        <family val="2"/>
        <scheme val="minor"/>
      </rPr>
      <t xml:space="preserve"> Some cards included in the list may not directly earn rewards in the category they are listed under but provide </t>
    </r>
    <r>
      <rPr>
        <b/>
        <sz val="26"/>
        <color theme="1"/>
        <rFont val="Calibri"/>
        <family val="2"/>
        <scheme val="minor"/>
      </rPr>
      <t>milestone or bonus rewards</t>
    </r>
    <r>
      <rPr>
        <sz val="26"/>
        <color theme="1"/>
        <rFont val="Calibri"/>
        <family val="2"/>
        <scheme val="minor"/>
      </rPr>
      <t>. This is especially true for American Express (</t>
    </r>
    <r>
      <rPr>
        <b/>
        <sz val="26"/>
        <color theme="1"/>
        <rFont val="Calibri"/>
        <family val="2"/>
        <scheme val="minor"/>
      </rPr>
      <t>AMEX</t>
    </r>
    <r>
      <rPr>
        <sz val="26"/>
        <color theme="1"/>
        <rFont val="Calibri"/>
        <family val="2"/>
        <scheme val="minor"/>
      </rPr>
      <t xml:space="preserve">) cards, where spending across different categories contributes towards milestone benefits.
</t>
    </r>
    <r>
      <rPr>
        <b/>
        <sz val="26"/>
        <color theme="1"/>
        <rFont val="Calibri"/>
        <family val="2"/>
        <scheme val="minor"/>
      </rPr>
      <t>3.</t>
    </r>
    <r>
      <rPr>
        <sz val="26"/>
        <color theme="1"/>
        <rFont val="Calibri"/>
        <family val="2"/>
        <scheme val="minor"/>
      </rPr>
      <t xml:space="preserve"> The primary selection criterion for the best credit cards in each category is their </t>
    </r>
    <r>
      <rPr>
        <b/>
        <sz val="26"/>
        <color theme="1"/>
        <rFont val="Calibri"/>
        <family val="2"/>
        <scheme val="minor"/>
      </rPr>
      <t xml:space="preserve">reward rate </t>
    </r>
    <r>
      <rPr>
        <sz val="26"/>
        <color theme="1"/>
        <rFont val="Calibri"/>
        <family val="2"/>
        <scheme val="minor"/>
      </rPr>
      <t xml:space="preserve">(RR) and not Return on Investment </t>
    </r>
    <r>
      <rPr>
        <b/>
        <sz val="26"/>
        <color theme="1"/>
        <rFont val="Calibri"/>
        <family val="2"/>
        <scheme val="minor"/>
      </rPr>
      <t>(ROI).</t>
    </r>
    <r>
      <rPr>
        <sz val="26"/>
        <color theme="1"/>
        <rFont val="Calibri"/>
        <family val="2"/>
        <scheme val="minor"/>
      </rPr>
      <t xml:space="preserve">
</t>
    </r>
    <r>
      <rPr>
        <b/>
        <sz val="26"/>
        <color theme="1"/>
        <rFont val="Calibri"/>
        <family val="2"/>
        <scheme val="minor"/>
      </rPr>
      <t>4.</t>
    </r>
    <r>
      <rPr>
        <sz val="26"/>
        <color theme="1"/>
        <rFont val="Calibri"/>
        <family val="2"/>
        <scheme val="minor"/>
      </rPr>
      <t xml:space="preserve"> Some alternative cards may earn cashback or rewards only on specific platforms (apps or websites). Others may earn cashback/rewards across all platforms.
    Example: Amazon Pay ICICI card is great for Amazon users, while Flipkart Axis Bank Credit Card is better for Flipkart purchases.
    Check the terms carefully before selecting a card based on your spending habits.</t>
    </r>
  </si>
  <si>
    <r>
      <rPr>
        <b/>
        <sz val="20"/>
        <color rgb="FFFF0000"/>
        <rFont val="Calibri"/>
        <family val="2"/>
        <scheme val="minor"/>
      </rPr>
      <t>Note:</t>
    </r>
    <r>
      <rPr>
        <b/>
        <sz val="20"/>
        <color theme="1"/>
        <rFont val="Calibri"/>
        <family val="2"/>
        <scheme val="minor"/>
      </rPr>
      <t xml:space="preserve">
1</t>
    </r>
    <r>
      <rPr>
        <sz val="20"/>
        <color theme="1"/>
        <rFont val="Calibri"/>
        <family val="2"/>
        <scheme val="minor"/>
      </rPr>
      <t xml:space="preserve">. RuPay credit cards may have limited acceptance outside India unless co-branded with Discover, JCB, or Diners Club.
</t>
    </r>
    <r>
      <rPr>
        <b/>
        <sz val="20"/>
        <color theme="1"/>
        <rFont val="Calibri"/>
        <family val="2"/>
        <scheme val="minor"/>
      </rPr>
      <t xml:space="preserve">2. </t>
    </r>
    <r>
      <rPr>
        <sz val="20"/>
        <color theme="1"/>
        <rFont val="Calibri"/>
        <family val="2"/>
        <scheme val="minor"/>
      </rPr>
      <t xml:space="preserve">The list is based on publicly available data as of February 2025—benefits and acceptance may change over time.
</t>
    </r>
    <r>
      <rPr>
        <b/>
        <sz val="20"/>
        <color theme="1"/>
        <rFont val="Calibri"/>
        <family val="2"/>
        <scheme val="minor"/>
      </rPr>
      <t>3.</t>
    </r>
    <r>
      <rPr>
        <sz val="20"/>
        <color theme="1"/>
        <rFont val="Calibri"/>
        <family val="2"/>
        <scheme val="minor"/>
      </rPr>
      <t xml:space="preserve"> RuPay cards often provide additional perks like insurance coverage and discounts on utility bills, especially for PSU bank-issued cards.
</t>
    </r>
    <r>
      <rPr>
        <b/>
        <sz val="20"/>
        <color theme="1"/>
        <rFont val="Calibri"/>
        <family val="2"/>
        <scheme val="minor"/>
      </rPr>
      <t>4.</t>
    </r>
    <r>
      <rPr>
        <sz val="20"/>
        <color theme="1"/>
        <rFont val="Calibri"/>
        <family val="2"/>
        <scheme val="minor"/>
      </rPr>
      <t xml:space="preserve"> All the RuPay credit cards will not provide Rewards / Cashback in ALl UPI Apps, SOme Cards only fetches Rewards on Specific UPI App For more details check UPI Apps column.</t>
    </r>
  </si>
  <si>
    <r>
      <rPr>
        <b/>
        <sz val="18"/>
        <color rgb="FFFF0000"/>
        <rFont val="Calibri"/>
        <family val="2"/>
        <scheme val="minor"/>
      </rPr>
      <t>Disclaimer &amp; Important Notes</t>
    </r>
    <r>
      <rPr>
        <sz val="18"/>
        <color theme="1"/>
        <rFont val="Calibri"/>
        <family val="2"/>
        <scheme val="minor"/>
      </rPr>
      <t xml:space="preserve">
1.	The reward rates of the listed credit cards are based on the best possible redemption rates allowed by the issuer. However, some exclusions apply, and actual value may vary.
2.	Some reward rates are calculated based on the most commonly used redemption options, ensuring practical usability. The actual RR might slightly vary, but the overall return remains competitive.
3.	Due to RBI guidelines, certain cards are unavailable to customers, such as Kotak Cards, Scapia Credit Card, and others.
4.	Some previously available credit cards, like SBI Air India Signature Card, have been discontinued and are no longer offered.
5.	The list is designed to maintain a minimal number of cards while ensuring the best possible returns, making it practical for users.
6.	The income eligibility criteria for each card are not included in this document. Users are advised to check the official website for specific details.
7.	This project does not include any referral or affiliate links. It is designed purely for informational and educational purposes to raise awareness.
8.	Direct links to official websites are provided for each card, along with the latest revisions or changes, if applicable.
9.	Partner brands, eligible categories, and reward structures may change over time based on the issuer's policies. Always verify before making a decision.
10.	Service Availability: Before applying for any card, contact customer support to confirm its availability in your location to avoid unnecessary credit inquiries affecting your credit score.
11.	Annual Fee Waivers: Some credit cards offer annual fee waivers based on spending criteria. Ensure you check the latest terms before applying.
12.	Milestone Benefits &amp; Expiry: Certain milestone rewards expire if unredeemed within a specific timeframe. Read the issuer's terms carefully.
13.	Forex Markup &amp; International Usage: If you frequently travel abroad, consider forex markup fees when choosing a card for international transactions.
14.	Cashback vs. Reward Points: Some cards provide direct cashback, while others give reward points that must be redeemed manually. Choose based on your preference.
15.	Hidden Charges &amp; Redemption Fees: Some issuers charge redemption fees for converting reward points into vouchers or airline miles. Check if it affects the overall value.
16.	Expiry of Reward Points: Certain credit cards have reward points that expire after a set duration (e.g., 2 years, 3 years). Select a card with non-expiring or long-validity points if you don't redeem frequently.
17.	Dynamic Reward Programs: Some banks, such as HDFC and Axis Bank, update their reward structures regularly, meaning today's best card may not be the best in the future. Stay updated.
18.	Credit Score Impact: Applying for multiple credit cards in a short span may affect your credit score due to hard inquiries. Space out applications wisely.
19.	Hidden Exclusions in Categories: Certain spending categories (e.g., insurance, utility bills, wallet loads) may not earn rewards, even if they fall under an eligible merchant category. Always check the fine print.
20.	Merchant Category Code (MCC) Impact: Some reward categories are linked to Merchant Category Codes (MCCs). If a transaction doesn’t fall under the expected MCC, you may not earn rewards.</t>
    </r>
  </si>
  <si>
    <t>Comprehensive Credit Card Database</t>
  </si>
  <si>
    <r>
      <rPr>
        <b/>
        <sz val="20"/>
        <color rgb="FFFF0000"/>
        <rFont val="Calibri"/>
        <family val="2"/>
        <scheme val="minor"/>
      </rPr>
      <t>Note:</t>
    </r>
    <r>
      <rPr>
        <b/>
        <sz val="18"/>
        <color theme="1"/>
        <rFont val="Calibri"/>
        <family val="2"/>
        <scheme val="minor"/>
      </rPr>
      <t xml:space="preserve">
AMEX Cards:</t>
    </r>
    <r>
      <rPr>
        <sz val="18"/>
        <color theme="1"/>
        <rFont val="Calibri"/>
        <family val="2"/>
        <scheme val="minor"/>
      </rPr>
      <t xml:space="preserve">
1. The Annual Spends, ROI, and Reward Rate are calculated considering the card’s milestone-based rewards.
2. Users are encouraged to input their actual spending patterns to get a more accurate ROI and Reward Rate.
3. All reward structures and card benefits are sourced from the official bank website and are subject to change.
4. The ROI and Reward Rate vary based on spending in eligible categories and the bank’s terms &amp; conditions.
</t>
    </r>
    <r>
      <rPr>
        <b/>
        <sz val="18"/>
        <color theme="1"/>
        <rFont val="Calibri"/>
        <family val="2"/>
        <scheme val="minor"/>
      </rPr>
      <t>HDFC Cards:</t>
    </r>
    <r>
      <rPr>
        <sz val="18"/>
        <color theme="1"/>
        <rFont val="Calibri"/>
        <family val="2"/>
        <scheme val="minor"/>
      </rPr>
      <t xml:space="preserve">
1. Reward Rates for HDFC cards are computed based on regular and milestone benefits, including SmartBuy offers.
2. The SmartBuy platform significantly enhances ROI, but its benefits are subject to periodic changes.
3. For certain cards, rewards are capped monthly or annually, affecting the final reward rate.
4. Redemption options (cashback, flights, vouchers, etc.) impact the ROI, and conversion rates may differ.
</t>
    </r>
  </si>
  <si>
    <t xml:space="preserve">Avoid
</t>
  </si>
  <si>
    <t>Consider this card for UPI Spends and some seectedl categories</t>
  </si>
  <si>
    <r>
      <t xml:space="preserve">2.4% in the form of points transfer
</t>
    </r>
    <r>
      <rPr>
        <sz val="11"/>
        <color rgb="FFFF0000"/>
        <rFont val="Calibri"/>
        <family val="2"/>
        <scheme val="minor"/>
      </rPr>
      <t>RP Redemption Charge: Rs. 99+GST</t>
    </r>
  </si>
  <si>
    <r>
      <t xml:space="preserve">Travel Edge: 12%(5:2) upto ₹2L   7% above 2L  </t>
    </r>
    <r>
      <rPr>
        <sz val="11"/>
        <color rgb="FFFF0000"/>
        <rFont val="Calibri"/>
        <family val="2"/>
        <scheme val="minor"/>
      </rPr>
      <t>Points Transfer charge: Rs. 199+GST</t>
    </r>
    <r>
      <rPr>
        <sz val="11"/>
        <color theme="1"/>
        <rFont val="Calibri"/>
        <family val="2"/>
        <scheme val="minor"/>
      </rPr>
      <t xml:space="preserve">, </t>
    </r>
  </si>
  <si>
    <t>up to 2.4%</t>
  </si>
  <si>
    <t>1%
Txn between: 400-4000
Max Cap: 400 / mon"</t>
  </si>
  <si>
    <t>Fuel Surcharge waiver</t>
  </si>
  <si>
    <t>Utility payment Fee and Limit</t>
  </si>
  <si>
    <t>Wallet load Fee and Limit</t>
  </si>
  <si>
    <t>Education fee payment charges and Limit</t>
  </si>
  <si>
    <t>Rent surcharge and Limit</t>
  </si>
  <si>
    <t>Govt / Tax /Wallet Load / Insurance / Rent / Education / Jewellery / utility Bills / Fuel</t>
  </si>
  <si>
    <t>S.No</t>
  </si>
  <si>
    <t>Whether counted for Annual fee waiver</t>
  </si>
  <si>
    <t>Any other Exclusions</t>
  </si>
  <si>
    <t>Excluded Categories:
- Govt Services / TAX: 0%
- Rent: 0%
- Wallet Load: 0%
- Insurance: 0%
- Education: 0%
- Jewellery:0%
- Fuel: 0%
- Utility Bill payments: 0%</t>
  </si>
  <si>
    <t>All  these categories are not counted for the Annual Fee waiver</t>
  </si>
  <si>
    <r>
      <t xml:space="preserve">Excluded Categories:
- Govt Services / TAX: 0%
- Rent: </t>
    </r>
    <r>
      <rPr>
        <sz val="11"/>
        <color rgb="FF00B050"/>
        <rFont val="Calibri"/>
        <family val="2"/>
        <scheme val="minor"/>
      </rPr>
      <t>2.4% up to Txn amount of Rs.50000 / mon</t>
    </r>
    <r>
      <rPr>
        <sz val="11"/>
        <color theme="1"/>
        <rFont val="Calibri"/>
        <family val="2"/>
        <scheme val="minor"/>
      </rPr>
      <t xml:space="preserve">
- Wallet Load: 0%
- Insurance: 0%
- Education: </t>
    </r>
    <r>
      <rPr>
        <sz val="11"/>
        <color rgb="FF00B050"/>
        <rFont val="Calibri"/>
        <family val="2"/>
        <scheme val="minor"/>
      </rPr>
      <t>2.4%</t>
    </r>
    <r>
      <rPr>
        <sz val="11"/>
        <color theme="1"/>
        <rFont val="Calibri"/>
        <family val="2"/>
        <scheme val="minor"/>
      </rPr>
      <t xml:space="preserve">
- Jewellery: 0%
- Fuel: 0%
- Utility Bill payments: 0%</t>
    </r>
  </si>
  <si>
    <t>1% per Txn
Max Rs.1500</t>
  </si>
  <si>
    <t>1%
Txn between: 400-5000
Max Cap: 400 / mon"</t>
  </si>
  <si>
    <r>
      <t xml:space="preserve">Spends threshold for Tier evaluation will exclude all these categories
All these spends are excluded from earning Edge Miles
</t>
    </r>
    <r>
      <rPr>
        <sz val="11"/>
        <color rgb="FF00B050"/>
        <rFont val="Calibri"/>
        <family val="2"/>
        <scheme val="minor"/>
      </rPr>
      <t>Except Education spends</t>
    </r>
  </si>
  <si>
    <r>
      <t xml:space="preserve">Rent up to Rs.50000 is considered for Base and accelerated RP
All other categories are excluded for accelerated RP
</t>
    </r>
    <r>
      <rPr>
        <sz val="11"/>
        <color rgb="FF00B050"/>
        <rFont val="Calibri"/>
        <family val="2"/>
        <scheme val="minor"/>
      </rPr>
      <t>Except Education spends</t>
    </r>
  </si>
  <si>
    <r>
      <t xml:space="preserve">Excluded Categories:
- Govt Services / TAX: 0%
- Rent: 0%
- Wallet Load: 0%
- Insurance: 0%
- Education: 0%
- Jewellery: </t>
    </r>
    <r>
      <rPr>
        <sz val="11"/>
        <color rgb="FF00B050"/>
        <rFont val="Calibri"/>
        <family val="2"/>
        <scheme val="minor"/>
      </rPr>
      <t>2%</t>
    </r>
    <r>
      <rPr>
        <sz val="11"/>
        <color theme="1"/>
        <rFont val="Calibri"/>
        <family val="2"/>
        <scheme val="minor"/>
      </rPr>
      <t xml:space="preserve">
- Fuel: 0%
- Utility Bill payments: 0%</t>
    </r>
  </si>
  <si>
    <t>1% per Txn</t>
  </si>
  <si>
    <t>1% on cumulative spends of Rs.10000 or More in a stmt cycle</t>
  </si>
  <si>
    <t>1% on cumulative  spends of Rs.50000 or More in a stmt cycle</t>
  </si>
  <si>
    <t>1% Fee on Education payments made via third party Apps</t>
  </si>
  <si>
    <t>1% on cumulative  spends of Rs.25000 or More in a stmt cycle</t>
  </si>
  <si>
    <r>
      <t xml:space="preserve">All these spends are excluded from earning Edge Miles
</t>
    </r>
    <r>
      <rPr>
        <sz val="11"/>
        <color rgb="FF00B050"/>
        <rFont val="Calibri"/>
        <family val="2"/>
        <scheme val="minor"/>
      </rPr>
      <t>Except Jewellery spends</t>
    </r>
  </si>
  <si>
    <t xml:space="preserve">₹ 1 lakh </t>
  </si>
  <si>
    <t>Rent, Wallet and Insurance payments are not considered for AF waiver</t>
  </si>
  <si>
    <t>5X: up to 600 EDGE Miles in total (5X Accelerated + 1X Base) i.e., on 
cumulative fuel spends of ₹15,000 per month
2X: up to Rs.000 spends</t>
  </si>
  <si>
    <r>
      <t xml:space="preserve">Excluded Categories:
- Govt Services / TAX: 0%
- Rent: 0%
- Wallet Load: 0%
- Insurance: 0%
- Education: 0%
- Jewellery: </t>
    </r>
    <r>
      <rPr>
        <sz val="11"/>
        <color rgb="FF00B050"/>
        <rFont val="Calibri"/>
        <family val="2"/>
        <scheme val="minor"/>
      </rPr>
      <t>0.67%</t>
    </r>
    <r>
      <rPr>
        <sz val="11"/>
        <color theme="1"/>
        <rFont val="Calibri"/>
        <family val="2"/>
        <scheme val="minor"/>
      </rPr>
      <t xml:space="preserve">
- Fuel: 0%
- Utility Bill payments: 0%</t>
    </r>
  </si>
  <si>
    <t>Fuel Txn fee and limit</t>
  </si>
  <si>
    <t xml:space="preserve">All these spends are excluded from earning cashback
</t>
  </si>
  <si>
    <t>Rent, Wallet spends are not considered for AF waiver</t>
  </si>
  <si>
    <t>1%
unlimited only at IOCL outlets</t>
  </si>
  <si>
    <t>1% up to Rs.100 per month</t>
  </si>
  <si>
    <t>1% up to Rs.150 per month</t>
  </si>
  <si>
    <t>1% up to Rs.250 per month</t>
  </si>
  <si>
    <t>1% up to Rs.1000 per month</t>
  </si>
  <si>
    <t>International Rent Txn: 0%
Domestic Txns: 1% of Txn value (Min Rs.99+GST)</t>
  </si>
  <si>
    <t>1% (min 99+GST)
Applicable on education payments done
through third party app</t>
  </si>
  <si>
    <t>1%
if spends exceed Rs.50000 per stmt cycle</t>
  </si>
  <si>
    <t>1%
if spends exceeds 50% of credit limit or
Rs.50,000, whichever is lower</t>
  </si>
  <si>
    <t>Rent, Govt, Education payments are excluded from earning Rewards / cashback</t>
  </si>
  <si>
    <r>
      <t xml:space="preserve">Excluded Categories:
- Govt Services / TAX: </t>
    </r>
    <r>
      <rPr>
        <sz val="11"/>
        <color rgb="FF00B050"/>
        <rFont val="Calibri"/>
        <family val="2"/>
        <scheme val="minor"/>
      </rPr>
      <t>1%</t>
    </r>
    <r>
      <rPr>
        <sz val="11"/>
        <color theme="1"/>
        <rFont val="Calibri"/>
        <family val="2"/>
        <scheme val="minor"/>
      </rPr>
      <t xml:space="preserve">
- Rent: </t>
    </r>
    <r>
      <rPr>
        <sz val="11"/>
        <color rgb="FF00B050"/>
        <rFont val="Calibri"/>
        <family val="2"/>
        <scheme val="minor"/>
      </rPr>
      <t>1%</t>
    </r>
    <r>
      <rPr>
        <sz val="11"/>
        <color theme="1"/>
        <rFont val="Calibri"/>
        <family val="2"/>
        <scheme val="minor"/>
      </rPr>
      <t xml:space="preserve">
- Wallet Load: </t>
    </r>
    <r>
      <rPr>
        <sz val="11"/>
        <color rgb="FF00B050"/>
        <rFont val="Calibri"/>
        <family val="2"/>
        <scheme val="minor"/>
      </rPr>
      <t>1%</t>
    </r>
    <r>
      <rPr>
        <sz val="11"/>
        <color theme="1"/>
        <rFont val="Calibri"/>
        <family val="2"/>
        <scheme val="minor"/>
      </rPr>
      <t xml:space="preserve">
- Insurance: </t>
    </r>
    <r>
      <rPr>
        <sz val="11"/>
        <color rgb="FF00B050"/>
        <rFont val="Calibri"/>
        <family val="2"/>
        <scheme val="minor"/>
      </rPr>
      <t>1%</t>
    </r>
    <r>
      <rPr>
        <sz val="11"/>
        <color theme="1"/>
        <rFont val="Calibri"/>
        <family val="2"/>
        <scheme val="minor"/>
      </rPr>
      <t xml:space="preserve">
- Education: </t>
    </r>
    <r>
      <rPr>
        <sz val="11"/>
        <color rgb="FF00B050"/>
        <rFont val="Calibri"/>
        <family val="2"/>
        <scheme val="minor"/>
      </rPr>
      <t>1%</t>
    </r>
    <r>
      <rPr>
        <sz val="11"/>
        <color theme="1"/>
        <rFont val="Calibri"/>
        <family val="2"/>
        <scheme val="minor"/>
      </rPr>
      <t xml:space="preserve">
- Jewellery: </t>
    </r>
    <r>
      <rPr>
        <sz val="11"/>
        <color rgb="FF00B050"/>
        <rFont val="Calibri"/>
        <family val="2"/>
        <scheme val="minor"/>
      </rPr>
      <t>1%</t>
    </r>
    <r>
      <rPr>
        <sz val="11"/>
        <color theme="1"/>
        <rFont val="Calibri"/>
        <family val="2"/>
        <scheme val="minor"/>
      </rPr>
      <t xml:space="preserve">
- Fuel: </t>
    </r>
    <r>
      <rPr>
        <sz val="11"/>
        <color rgb="FF00B050"/>
        <rFont val="Calibri"/>
        <family val="2"/>
        <scheme val="minor"/>
      </rPr>
      <t>1%</t>
    </r>
    <r>
      <rPr>
        <sz val="11"/>
        <color theme="1"/>
        <rFont val="Calibri"/>
        <family val="2"/>
        <scheme val="minor"/>
      </rPr>
      <t xml:space="preserve">
- Utility Bill payments: </t>
    </r>
    <r>
      <rPr>
        <sz val="11"/>
        <color rgb="FF00B050"/>
        <rFont val="Calibri"/>
        <family val="2"/>
        <scheme val="minor"/>
      </rPr>
      <t>1%</t>
    </r>
  </si>
  <si>
    <r>
      <t xml:space="preserve">Excluded Categories:
- Govt Services / TAX: 0%
- Rent: 0%
- Wallet Load: </t>
    </r>
    <r>
      <rPr>
        <sz val="11"/>
        <color rgb="FF00B050"/>
        <rFont val="Calibri"/>
        <family val="2"/>
        <scheme val="minor"/>
      </rPr>
      <t>0.5%</t>
    </r>
    <r>
      <rPr>
        <sz val="11"/>
        <color theme="1"/>
        <rFont val="Calibri"/>
        <family val="2"/>
        <scheme val="minor"/>
      </rPr>
      <t xml:space="preserve">
- Insurance: </t>
    </r>
    <r>
      <rPr>
        <sz val="11"/>
        <color rgb="FF00B050"/>
        <rFont val="Calibri"/>
        <family val="2"/>
        <scheme val="minor"/>
      </rPr>
      <t>0.5%</t>
    </r>
    <r>
      <rPr>
        <sz val="11"/>
        <color theme="1"/>
        <rFont val="Calibri"/>
        <family val="2"/>
        <scheme val="minor"/>
      </rPr>
      <t xml:space="preserve">
- Education: 0%
- Jewellery: </t>
    </r>
    <r>
      <rPr>
        <sz val="11"/>
        <color rgb="FF00B050"/>
        <rFont val="Calibri"/>
        <family val="2"/>
        <scheme val="minor"/>
      </rPr>
      <t>0.5%</t>
    </r>
    <r>
      <rPr>
        <sz val="11"/>
        <color theme="1"/>
        <rFont val="Calibri"/>
        <family val="2"/>
        <scheme val="minor"/>
      </rPr>
      <t xml:space="preserve">
- Fuel: 0%
- Utility Bill payments: </t>
    </r>
    <r>
      <rPr>
        <sz val="11"/>
        <color rgb="FF00B050"/>
        <rFont val="Calibri"/>
        <family val="2"/>
        <scheme val="minor"/>
      </rPr>
      <t>2.5%</t>
    </r>
    <r>
      <rPr>
        <sz val="11"/>
        <color theme="1"/>
        <rFont val="Calibri"/>
        <family val="2"/>
        <scheme val="minor"/>
      </rPr>
      <t xml:space="preserve"> up to 100 RP per month</t>
    </r>
  </si>
  <si>
    <r>
      <t xml:space="preserve">Excluded Categories:
- Govt Services / TAX: 0%
- Rent: 0%
- Wallet Load: </t>
    </r>
    <r>
      <rPr>
        <sz val="11"/>
        <color rgb="FF00B050"/>
        <rFont val="Calibri"/>
        <family val="2"/>
        <scheme val="minor"/>
      </rPr>
      <t>0.5%</t>
    </r>
    <r>
      <rPr>
        <sz val="11"/>
        <color theme="1"/>
        <rFont val="Calibri"/>
        <family val="2"/>
        <scheme val="minor"/>
      </rPr>
      <t xml:space="preserve">
- Insurance: </t>
    </r>
    <r>
      <rPr>
        <sz val="11"/>
        <color rgb="FF00B050"/>
        <rFont val="Calibri"/>
        <family val="2"/>
        <scheme val="minor"/>
      </rPr>
      <t>0.5%</t>
    </r>
    <r>
      <rPr>
        <sz val="11"/>
        <color theme="1"/>
        <rFont val="Calibri"/>
        <family val="2"/>
        <scheme val="minor"/>
      </rPr>
      <t xml:space="preserve">
- Education: 0%
- Jewellery: </t>
    </r>
    <r>
      <rPr>
        <sz val="11"/>
        <color rgb="FF00B050"/>
        <rFont val="Calibri"/>
        <family val="2"/>
        <scheme val="minor"/>
      </rPr>
      <t>0.5%</t>
    </r>
    <r>
      <rPr>
        <sz val="11"/>
        <color theme="1"/>
        <rFont val="Calibri"/>
        <family val="2"/>
        <scheme val="minor"/>
      </rPr>
      <t xml:space="preserve">
- Fuel: 0%
- Utility Bill payments: </t>
    </r>
    <r>
      <rPr>
        <sz val="11"/>
        <color rgb="FF00B050"/>
        <rFont val="Calibri"/>
        <family val="2"/>
        <scheme val="minor"/>
      </rPr>
      <t>1%</t>
    </r>
    <r>
      <rPr>
        <sz val="11"/>
        <color theme="1"/>
        <rFont val="Calibri"/>
        <family val="2"/>
        <scheme val="minor"/>
      </rPr>
      <t xml:space="preserve"> up to 100 RP per month </t>
    </r>
  </si>
  <si>
    <r>
      <t xml:space="preserve">Excluded Categories:
- Govt Services / TAX: 0%
- Rent: 0%
- Wallet Load: </t>
    </r>
    <r>
      <rPr>
        <sz val="11"/>
        <color rgb="FF00B050"/>
        <rFont val="Calibri"/>
        <family val="2"/>
        <scheme val="minor"/>
      </rPr>
      <t>1%</t>
    </r>
    <r>
      <rPr>
        <sz val="11"/>
        <color theme="1"/>
        <rFont val="Calibri"/>
        <family val="2"/>
        <scheme val="minor"/>
      </rPr>
      <t xml:space="preserve">
- Insurance: </t>
    </r>
    <r>
      <rPr>
        <sz val="11"/>
        <color rgb="FF00B050"/>
        <rFont val="Calibri"/>
        <family val="2"/>
        <scheme val="minor"/>
      </rPr>
      <t>1%</t>
    </r>
    <r>
      <rPr>
        <sz val="11"/>
        <color theme="1"/>
        <rFont val="Calibri"/>
        <family val="2"/>
        <scheme val="minor"/>
      </rPr>
      <t xml:space="preserve">
- Education: 0%
- Jewellery: </t>
    </r>
    <r>
      <rPr>
        <sz val="11"/>
        <color rgb="FF00B050"/>
        <rFont val="Calibri"/>
        <family val="2"/>
        <scheme val="minor"/>
      </rPr>
      <t>1%</t>
    </r>
    <r>
      <rPr>
        <sz val="11"/>
        <color theme="1"/>
        <rFont val="Calibri"/>
        <family val="2"/>
        <scheme val="minor"/>
      </rPr>
      <t xml:space="preserve">
- Fuel: 0%
- Utility Bill payments: </t>
    </r>
    <r>
      <rPr>
        <sz val="11"/>
        <color rgb="FF00B050"/>
        <rFont val="Calibri"/>
        <family val="2"/>
        <scheme val="minor"/>
      </rPr>
      <t>1%</t>
    </r>
    <r>
      <rPr>
        <sz val="11"/>
        <color theme="1"/>
        <rFont val="Calibri"/>
        <family val="2"/>
        <scheme val="minor"/>
      </rPr>
      <t xml:space="preserve"> up to 100 RP per month </t>
    </r>
  </si>
  <si>
    <r>
      <t>Excluded Categories:
- Govt Services / TAX: 0%
- Rent: 0%
- Wallet Load:</t>
    </r>
    <r>
      <rPr>
        <sz val="11"/>
        <color rgb="FF00B050"/>
        <rFont val="Calibri"/>
        <family val="2"/>
        <scheme val="minor"/>
      </rPr>
      <t xml:space="preserve"> 1%</t>
    </r>
    <r>
      <rPr>
        <sz val="11"/>
        <color theme="1"/>
        <rFont val="Calibri"/>
        <family val="2"/>
        <scheme val="minor"/>
      </rPr>
      <t xml:space="preserve">
- Insurance: </t>
    </r>
    <r>
      <rPr>
        <sz val="11"/>
        <color rgb="FF00B050"/>
        <rFont val="Calibri"/>
        <family val="2"/>
        <scheme val="minor"/>
      </rPr>
      <t>1%</t>
    </r>
    <r>
      <rPr>
        <sz val="11"/>
        <color theme="1"/>
        <rFont val="Calibri"/>
        <family val="2"/>
        <scheme val="minor"/>
      </rPr>
      <t xml:space="preserve">
- Education: 0%
- Jewellery: </t>
    </r>
    <r>
      <rPr>
        <sz val="11"/>
        <color rgb="FF00B050"/>
        <rFont val="Calibri"/>
        <family val="2"/>
        <scheme val="minor"/>
      </rPr>
      <t>1%</t>
    </r>
    <r>
      <rPr>
        <sz val="11"/>
        <color theme="1"/>
        <rFont val="Calibri"/>
        <family val="2"/>
        <scheme val="minor"/>
      </rPr>
      <t xml:space="preserve">
- Fuel: 0%
- Utility Bill payments: </t>
    </r>
    <r>
      <rPr>
        <sz val="11"/>
        <color rgb="FF00B050"/>
        <rFont val="Calibri"/>
        <family val="2"/>
        <scheme val="minor"/>
      </rPr>
      <t>1%</t>
    </r>
    <r>
      <rPr>
        <sz val="11"/>
        <color theme="1"/>
        <rFont val="Calibri"/>
        <family val="2"/>
        <scheme val="minor"/>
      </rPr>
      <t xml:space="preserve"> up to 100 RP per month </t>
    </r>
  </si>
  <si>
    <r>
      <t xml:space="preserve">Excluded Categories:
- Govt Services / TAX: 0%
- Rent: 0%
- Wallet Load: </t>
    </r>
    <r>
      <rPr>
        <sz val="11"/>
        <color rgb="FF00B050"/>
        <rFont val="Calibri"/>
        <family val="2"/>
        <scheme val="minor"/>
      </rPr>
      <t>1%</t>
    </r>
    <r>
      <rPr>
        <sz val="11"/>
        <color theme="1"/>
        <rFont val="Calibri"/>
        <family val="2"/>
        <scheme val="minor"/>
      </rPr>
      <t xml:space="preserve">
- Insurance: </t>
    </r>
    <r>
      <rPr>
        <sz val="11"/>
        <color rgb="FF00B050"/>
        <rFont val="Calibri"/>
        <family val="2"/>
        <scheme val="minor"/>
      </rPr>
      <t>1%</t>
    </r>
    <r>
      <rPr>
        <sz val="11"/>
        <color theme="1"/>
        <rFont val="Calibri"/>
        <family val="2"/>
        <scheme val="minor"/>
      </rPr>
      <t xml:space="preserve">
- Education: 0%
- Jewellery: </t>
    </r>
    <r>
      <rPr>
        <sz val="11"/>
        <color rgb="FF00B050"/>
        <rFont val="Calibri"/>
        <family val="2"/>
        <scheme val="minor"/>
      </rPr>
      <t>1%</t>
    </r>
    <r>
      <rPr>
        <sz val="11"/>
        <color theme="1"/>
        <rFont val="Calibri"/>
        <family val="2"/>
        <scheme val="minor"/>
      </rPr>
      <t xml:space="preserve">
- Fuel: 0%
- Utility Bill payments: </t>
    </r>
    <r>
      <rPr>
        <sz val="11"/>
        <color rgb="FF00B050"/>
        <rFont val="Calibri"/>
        <family val="2"/>
        <scheme val="minor"/>
      </rPr>
      <t>up to 4.5%</t>
    </r>
    <r>
      <rPr>
        <sz val="11"/>
        <color theme="1"/>
        <rFont val="Calibri"/>
        <family val="2"/>
        <scheme val="minor"/>
      </rPr>
      <t xml:space="preserve"> up to 100 RP per month </t>
    </r>
  </si>
  <si>
    <t xml:space="preserve">₹100 cashback capping per stmt cycle.
i.e up to Rs.6666 offline spends
 utility: 100 RP Max per Txn i.e upto ₹1000 per Txn
</t>
  </si>
  <si>
    <t>Max ₹750 per month
 utility: 100 RP Max per Txn i.e upto ₹1000 per Txn</t>
  </si>
  <si>
    <r>
      <t xml:space="preserve">Excluded Categories:
- Govt Services / TAX: </t>
    </r>
    <r>
      <rPr>
        <sz val="11"/>
        <color rgb="FF00B050"/>
        <rFont val="Calibri"/>
        <family val="2"/>
        <scheme val="minor"/>
      </rPr>
      <t>1%</t>
    </r>
    <r>
      <rPr>
        <sz val="11"/>
        <color theme="1"/>
        <rFont val="Calibri"/>
        <family val="2"/>
        <scheme val="minor"/>
      </rPr>
      <t xml:space="preserve">
- Rent: </t>
    </r>
    <r>
      <rPr>
        <sz val="11"/>
        <color rgb="FF00B050"/>
        <rFont val="Calibri"/>
        <family val="2"/>
        <scheme val="minor"/>
      </rPr>
      <t>1%</t>
    </r>
    <r>
      <rPr>
        <sz val="11"/>
        <color theme="1"/>
        <rFont val="Calibri"/>
        <family val="2"/>
        <scheme val="minor"/>
      </rPr>
      <t xml:space="preserve">
- Wallet Load: </t>
    </r>
    <r>
      <rPr>
        <sz val="11"/>
        <color rgb="FF00B050"/>
        <rFont val="Calibri"/>
        <family val="2"/>
        <scheme val="minor"/>
      </rPr>
      <t>1%</t>
    </r>
    <r>
      <rPr>
        <sz val="11"/>
        <color theme="1"/>
        <rFont val="Calibri"/>
        <family val="2"/>
        <scheme val="minor"/>
      </rPr>
      <t xml:space="preserve">
- Insurance: </t>
    </r>
    <r>
      <rPr>
        <sz val="11"/>
        <color rgb="FF00B050"/>
        <rFont val="Calibri"/>
        <family val="2"/>
        <scheme val="minor"/>
      </rPr>
      <t>1%</t>
    </r>
    <r>
      <rPr>
        <sz val="11"/>
        <color theme="1"/>
        <rFont val="Calibri"/>
        <family val="2"/>
        <scheme val="minor"/>
      </rPr>
      <t xml:space="preserve">
- Education: </t>
    </r>
    <r>
      <rPr>
        <sz val="11"/>
        <color rgb="FF00B050"/>
        <rFont val="Calibri"/>
        <family val="2"/>
        <scheme val="minor"/>
      </rPr>
      <t>1%</t>
    </r>
    <r>
      <rPr>
        <sz val="11"/>
        <color theme="1"/>
        <rFont val="Calibri"/>
        <family val="2"/>
        <scheme val="minor"/>
      </rPr>
      <t xml:space="preserve">
- Jewellery: </t>
    </r>
    <r>
      <rPr>
        <sz val="11"/>
        <color rgb="FF00B050"/>
        <rFont val="Calibri"/>
        <family val="2"/>
        <scheme val="minor"/>
      </rPr>
      <t>1%</t>
    </r>
    <r>
      <rPr>
        <sz val="11"/>
        <color theme="1"/>
        <rFont val="Calibri"/>
        <family val="2"/>
        <scheme val="minor"/>
      </rPr>
      <t xml:space="preserve">
- Fuel: </t>
    </r>
    <r>
      <rPr>
        <sz val="11"/>
        <color rgb="FF00B050"/>
        <rFont val="Calibri"/>
        <family val="2"/>
        <scheme val="minor"/>
      </rPr>
      <t>1%</t>
    </r>
    <r>
      <rPr>
        <sz val="11"/>
        <color theme="1"/>
        <rFont val="Calibri"/>
        <family val="2"/>
        <scheme val="minor"/>
      </rPr>
      <t xml:space="preserve">
- Utility Bill payments: </t>
    </r>
    <r>
      <rPr>
        <sz val="11"/>
        <color rgb="FF00B050"/>
        <rFont val="Calibri"/>
        <family val="2"/>
        <scheme val="minor"/>
      </rPr>
      <t>1.25%</t>
    </r>
  </si>
  <si>
    <r>
      <t xml:space="preserve">Excluded Categories:
- Govt Services / TAX: 0%
- Rent: 0%
- Wallet Load: </t>
    </r>
    <r>
      <rPr>
        <sz val="11"/>
        <color rgb="FF00B050"/>
        <rFont val="Calibri"/>
        <family val="2"/>
        <scheme val="minor"/>
      </rPr>
      <t>0.5%</t>
    </r>
    <r>
      <rPr>
        <sz val="11"/>
        <color theme="1"/>
        <rFont val="Calibri"/>
        <family val="2"/>
        <scheme val="minor"/>
      </rPr>
      <t xml:space="preserve">
- Insurance:</t>
    </r>
    <r>
      <rPr>
        <sz val="11"/>
        <color rgb="FF00B050"/>
        <rFont val="Calibri"/>
        <family val="2"/>
        <scheme val="minor"/>
      </rPr>
      <t xml:space="preserve"> 0.5%</t>
    </r>
    <r>
      <rPr>
        <sz val="11"/>
        <color theme="1"/>
        <rFont val="Calibri"/>
        <family val="2"/>
        <scheme val="minor"/>
      </rPr>
      <t xml:space="preserve">
- Education: 0%
- Jewellery: </t>
    </r>
    <r>
      <rPr>
        <sz val="11"/>
        <color rgb="FF00B050"/>
        <rFont val="Calibri"/>
        <family val="2"/>
        <scheme val="minor"/>
      </rPr>
      <t>0.5%</t>
    </r>
    <r>
      <rPr>
        <sz val="11"/>
        <color theme="1"/>
        <rFont val="Calibri"/>
        <family val="2"/>
        <scheme val="minor"/>
      </rPr>
      <t xml:space="preserve">
- Fuel: 0%
- Utility Bill payments: </t>
    </r>
    <r>
      <rPr>
        <sz val="11"/>
        <color rgb="FF00B050"/>
        <rFont val="Calibri"/>
        <family val="2"/>
        <scheme val="minor"/>
      </rPr>
      <t>1.25%</t>
    </r>
    <r>
      <rPr>
        <sz val="11"/>
        <color theme="1"/>
        <rFont val="Calibri"/>
        <family val="2"/>
        <scheme val="minor"/>
      </rPr>
      <t xml:space="preserve"> up to 100 RP per month </t>
    </r>
  </si>
  <si>
    <t>1% to 2.5%
Txn between: 400-100000
Max Cap: 1000 / mon"</t>
  </si>
  <si>
    <t>1% per Txn
Fee capped at Rs.3000 per Txn</t>
  </si>
  <si>
    <t>1% of Txn value Applicable if Tsn value exceeds Rs.15000 for consumer cards and Rs.30000 for Business cards
Fee capped at Rs. 3000 per Txn</t>
  </si>
  <si>
    <t>1%
Applicable on education payments done
through third party app</t>
  </si>
  <si>
    <t>1% of Txn value Applicable if Tsn value exceeds Rs.50000 for consumer cards and Rs.75000 for Business cards
Fee capped at Rs. 3000 per Txn</t>
  </si>
  <si>
    <r>
      <t xml:space="preserve">Excluded Categories:
- Govt Services / TAX: 0%
- Rent: 0%
- Wallet Load: 0%
- Insurance: </t>
    </r>
    <r>
      <rPr>
        <sz val="11"/>
        <color rgb="FF00B050"/>
        <rFont val="Calibri"/>
        <family val="2"/>
        <scheme val="minor"/>
      </rPr>
      <t>3.33%</t>
    </r>
    <r>
      <rPr>
        <sz val="11"/>
        <color theme="1"/>
        <rFont val="Calibri"/>
        <family val="2"/>
        <scheme val="minor"/>
      </rPr>
      <t xml:space="preserve">
- Education: </t>
    </r>
    <r>
      <rPr>
        <sz val="11"/>
        <color rgb="FF00B050"/>
        <rFont val="Calibri"/>
        <family val="2"/>
        <scheme val="minor"/>
      </rPr>
      <t>3.33%</t>
    </r>
    <r>
      <rPr>
        <sz val="11"/>
        <color theme="1"/>
        <rFont val="Calibri"/>
        <family val="2"/>
        <scheme val="minor"/>
      </rPr>
      <t xml:space="preserve">
- Jewellery: </t>
    </r>
    <r>
      <rPr>
        <sz val="11"/>
        <color rgb="FF00B050"/>
        <rFont val="Calibri"/>
        <family val="2"/>
        <scheme val="minor"/>
      </rPr>
      <t>3.33%</t>
    </r>
    <r>
      <rPr>
        <sz val="11"/>
        <color theme="1"/>
        <rFont val="Calibri"/>
        <family val="2"/>
        <scheme val="minor"/>
      </rPr>
      <t xml:space="preserve">
- Fuel: 0%
- Utility Bill payments: </t>
    </r>
    <r>
      <rPr>
        <sz val="11"/>
        <color rgb="FF00B050"/>
        <rFont val="Calibri"/>
        <family val="2"/>
        <scheme val="minor"/>
      </rPr>
      <t>3.33%</t>
    </r>
  </si>
  <si>
    <t>1%
Txn between: 400-5000
Max Cap: 250 / mon"</t>
  </si>
  <si>
    <t>1%
Txn between: 400-5000
Max Cap: 500 / mon"</t>
  </si>
  <si>
    <t>Rent, Govt, Wallet load, Fuel spends are excluded</t>
  </si>
  <si>
    <t>1% to 2.5%
Txn between: 400- 3000
Max Cap: 100 / mon</t>
  </si>
  <si>
    <t>2% cashback on selected categories 
we've to sel category from jupiter App and the selected categories can be switched every 3 billing cycles
Flat 0.4% cashback on UPI and all other spends</t>
  </si>
  <si>
    <r>
      <t xml:space="preserve">Currently, </t>
    </r>
    <r>
      <rPr>
        <sz val="11"/>
        <color rgb="FF00B050"/>
        <rFont val="Calibri"/>
        <family val="2"/>
        <scheme val="minor"/>
      </rPr>
      <t>the Neon subscription is Free</t>
    </r>
    <r>
      <rPr>
        <sz val="11"/>
        <color theme="1"/>
        <rFont val="Calibri"/>
        <family val="2"/>
        <scheme val="minor"/>
      </rPr>
      <t xml:space="preserve"> but they may revise their terms anytime so, if u need a card for general upi spends consider this card </t>
    </r>
  </si>
  <si>
    <t>1% Txn between: 400- 5000
Max Cap: 100 / mon</t>
  </si>
  <si>
    <t>1% Txn between: 400- 5000
Max Cap: 150 / mon</t>
  </si>
  <si>
    <t>1%
Txn between: 500- 3000
Max Cap: 35000 / year</t>
  </si>
  <si>
    <t>1%
Txn between: 100- 5000
Max Cap: 100 / month</t>
  </si>
  <si>
    <t>1%
Txn between: 300- 3000
Max Cap: 3500 / year</t>
  </si>
  <si>
    <t>1%
Txn between: 500- 4000
Max Cap: 100 / month</t>
  </si>
  <si>
    <t>1%
Txn between: 500- 4000
Max Cap: 250 / month</t>
  </si>
  <si>
    <t>1%
Txn between: 400- 5000
Max Cap: 500 / month</t>
  </si>
  <si>
    <t>1%
Txn between: 400- 5000
Max Cap: 250 / month</t>
  </si>
  <si>
    <t>1%
Txn between: 400- 5000
Max Cap: 1000 / month</t>
  </si>
  <si>
    <t xml:space="preserve">1%
Txn between: 400- 4000
</t>
  </si>
  <si>
    <t>1%
up to Rs.5000 Txn value at HPCL</t>
  </si>
  <si>
    <t>1%
Txn between: 400- 2000
Max Cap: 400 / month</t>
  </si>
  <si>
    <t>1%
Txn between: 400- 4000
Max Cap: 1000 / month</t>
  </si>
  <si>
    <t>1%
Txn between: 500- 3000
Max Cap: 100 / month</t>
  </si>
  <si>
    <t>1%
up to 4000 Txn amt
Max Cap: 100 / month</t>
  </si>
  <si>
    <t>1%
Txn between: 200- 5000
Max Cap: 500 / month</t>
  </si>
  <si>
    <t>1%
Txn between: 200- 5000
Max Cap: 300 / month</t>
  </si>
  <si>
    <t>1%
Txn between: 200- 5000
Max Cap: 200 / month</t>
  </si>
  <si>
    <t>"1%
Txn between: 200- 5000
Max Cap: 200 / month"</t>
  </si>
  <si>
    <t>5% upto Rs.600, Grocery Rs.100 per billing cycle</t>
  </si>
  <si>
    <t>1%
Txn between: 400- 5000
Max Cap: 200 / month</t>
  </si>
  <si>
    <t>1%
Txn between: 400- 5000
Max Cap: 100 / month</t>
  </si>
  <si>
    <t>Excluded Categories:
- Govt Services / TAX: 0%
- Rent: 0%
- Wallet Load: 0%
- Insurance: 1.33%
- Education: 1.33%
- Jewellery: 01.33%
- Fuel: 0%
- Utility Bill payments: 1.33%</t>
  </si>
  <si>
    <t>Excluded Categories:
- Govt Services / TAX: 0%
- Rent: 0%
- Wallet Load: 0%
- Insurance: 1.33%
- Education: 1.33%
- Jewellery: 1.33%
- Fuel: 0%
- Utility Bill payments: 1.33%</t>
  </si>
  <si>
    <t>Excluded Categories:
- Govt Services / TAX: 0%
- Rent: 0%
- Wallet Load: 0%
- Insurance: 1%
- Education: 1%
- Jewellery:1%
- Fuel: 0%
- Utility Bill payments: 1%</t>
  </si>
  <si>
    <t>Excluded Categories:
- Govt Services / TAX: 0%
- Rent: 0%
- Wallet Load: 0%
- Insurance: 0%
- Education: 0%
- Jewellery:0.25%
- Fuel: 0%
- Utility Bill payments: 0%</t>
  </si>
  <si>
    <r>
      <t xml:space="preserve">Excluded Categories:
- Govt Services / TAX: 0%
- Rent: 0%
- Wallet Load: 0%
- Insurance: 0%
- Education: 0%
- Jewellery:0%
- Fuel: 0%
- Utility Bill payments: </t>
    </r>
    <r>
      <rPr>
        <sz val="11"/>
        <color rgb="FFC00000"/>
        <rFont val="Calibri"/>
        <family val="2"/>
        <scheme val="minor"/>
      </rPr>
      <t>Refer sheet 1</t>
    </r>
  </si>
  <si>
    <t>Excluded Categories:
- Govt Services / TAX: 0%
- Rent: 0%
- Wallet Load: 0%
- Insurance: 0.33%
- Education: 0.33%
- Jewellery:0.33%
- Fuel: 0%
- Utility Bill payments: 0.33%</t>
  </si>
  <si>
    <t>Excluded Categories:
- Govt Services / TAX: 0%
- Rent: 0%
- Wallet Load: 0%
- Insurance: 0.16%
- Education: 0.16%
- Jewellery: 0.16%
- Fuel: 4.5%
- Utility Bill payments: 0.16%</t>
  </si>
  <si>
    <r>
      <t xml:space="preserve">Excluded Categories:
- Govt Services / TAX: 0%
- Rent: 0%
- Wallet Load: 0%
- Insurance: 1.5%
- Education: 1.5%
- Jewellery: </t>
    </r>
    <r>
      <rPr>
        <sz val="11"/>
        <color rgb="FFC00000"/>
        <rFont val="Calibri"/>
        <family val="2"/>
        <scheme val="minor"/>
      </rPr>
      <t>Refer sheet 1</t>
    </r>
    <r>
      <rPr>
        <sz val="11"/>
        <color theme="1"/>
        <rFont val="Calibri"/>
        <family val="2"/>
        <scheme val="minor"/>
      </rPr>
      <t xml:space="preserve">
- Fuel: 0%
- Utility Bill payments: </t>
    </r>
    <r>
      <rPr>
        <sz val="11"/>
        <color rgb="FFC00000"/>
        <rFont val="Calibri"/>
        <family val="2"/>
        <scheme val="minor"/>
      </rPr>
      <t>Refer sheet 1</t>
    </r>
  </si>
  <si>
    <r>
      <t xml:space="preserve">Excluded Categories:
- Govt Services / TAX: 0%
- Rent: 0%
- Wallet Load: 1%
- Insurance: 1%
- Education: 1%
- Jewellery: </t>
    </r>
    <r>
      <rPr>
        <sz val="11"/>
        <color rgb="FFC00000"/>
        <rFont val="Calibri"/>
        <family val="2"/>
        <scheme val="minor"/>
      </rPr>
      <t>Refer sheet 1</t>
    </r>
    <r>
      <rPr>
        <sz val="11"/>
        <color theme="1"/>
        <rFont val="Calibri"/>
        <family val="2"/>
        <scheme val="minor"/>
      </rPr>
      <t xml:space="preserve">
- Fuel: 0%
- Utility Bill payments: </t>
    </r>
    <r>
      <rPr>
        <sz val="11"/>
        <color rgb="FFC00000"/>
        <rFont val="Calibri"/>
        <family val="2"/>
        <scheme val="minor"/>
      </rPr>
      <t>Refer sheet 1</t>
    </r>
  </si>
  <si>
    <r>
      <t xml:space="preserve">Excluded Categories:
- Govt Services / TAX: 0%
- Rent: 0%
- Wallet Load: 0%
- Insurance: 0%
- Education: 0%
- Jewellery: 0%
- Fuel: 0%
- Utility Bill payments: </t>
    </r>
    <r>
      <rPr>
        <sz val="11"/>
        <color rgb="FF00B050"/>
        <rFont val="Calibri"/>
        <family val="2"/>
        <scheme val="minor"/>
      </rPr>
      <t>1%</t>
    </r>
  </si>
  <si>
    <r>
      <t xml:space="preserve">Excluded Categories:
- Govt Services / TAX: 0%
- Rent: 0%
- Wallet Load: 0%
- Insurance: </t>
    </r>
    <r>
      <rPr>
        <sz val="11"/>
        <color rgb="FF00B050"/>
        <rFont val="Calibri"/>
        <family val="2"/>
        <scheme val="minor"/>
      </rPr>
      <t>0.67%</t>
    </r>
    <r>
      <rPr>
        <sz val="11"/>
        <color theme="1"/>
        <rFont val="Calibri"/>
        <family val="2"/>
        <scheme val="minor"/>
      </rPr>
      <t xml:space="preserve">
- Education: </t>
    </r>
    <r>
      <rPr>
        <sz val="11"/>
        <color rgb="FF00B050"/>
        <rFont val="Calibri"/>
        <family val="2"/>
        <scheme val="minor"/>
      </rPr>
      <t>0.67%</t>
    </r>
    <r>
      <rPr>
        <sz val="11"/>
        <color theme="1"/>
        <rFont val="Calibri"/>
        <family val="2"/>
        <scheme val="minor"/>
      </rPr>
      <t xml:space="preserve">
- Jewellery:</t>
    </r>
    <r>
      <rPr>
        <sz val="11"/>
        <color rgb="FF00B050"/>
        <rFont val="Calibri"/>
        <family val="2"/>
        <scheme val="minor"/>
      </rPr>
      <t xml:space="preserve"> 0.67%</t>
    </r>
    <r>
      <rPr>
        <sz val="11"/>
        <color theme="1"/>
        <rFont val="Calibri"/>
        <family val="2"/>
        <scheme val="minor"/>
      </rPr>
      <t xml:space="preserve">
- Fuel: 0%
- Utility Bill payments: </t>
    </r>
    <r>
      <rPr>
        <sz val="11"/>
        <color rgb="FF00B050"/>
        <rFont val="Calibri"/>
        <family val="2"/>
        <scheme val="minor"/>
      </rPr>
      <t>0.67%</t>
    </r>
  </si>
  <si>
    <t>Excluded Categories:
- Govt Services / TAX: 0%
- Rent: 0%
- Wallet Load: 0%
- Insurance: 1%
- Education: 1%
- Jewellery: 1%
- Fuel: 0%
- Utility Bill payments: 1%</t>
  </si>
  <si>
    <t>Excluded Categories:
- Govt Services / TAX: 0%
- Rent: 0%
- Wallet Load: 0%
- Insurance: 2%
- Education: 2%
- Jewellery: 2%
- Fuel: 0%
- Utility Bill payments: 2%</t>
  </si>
  <si>
    <r>
      <t xml:space="preserve">Excluded Categories:
- Govt Services / TAX: </t>
    </r>
    <r>
      <rPr>
        <sz val="11"/>
        <color rgb="FFC00000"/>
        <rFont val="Calibri"/>
        <family val="2"/>
        <scheme val="minor"/>
      </rPr>
      <t>Refer sheet 1</t>
    </r>
    <r>
      <rPr>
        <sz val="11"/>
        <color theme="1"/>
        <rFont val="Calibri"/>
        <family val="2"/>
        <scheme val="minor"/>
      </rPr>
      <t xml:space="preserve">
- Rent: 0%
- Wallet Load: 0%
- Insurance: 0%
- Education: 0%
- Jewellery: 0%
- Fuel: 0%
- Utility Bill payments: </t>
    </r>
    <r>
      <rPr>
        <sz val="11"/>
        <color rgb="FFC00000"/>
        <rFont val="Calibri"/>
        <family val="2"/>
        <scheme val="minor"/>
      </rPr>
      <t>Refer sheet 1</t>
    </r>
  </si>
  <si>
    <t>Rent, Govt, Wallet load, Education, Insurance, Fuel spends are excluded</t>
  </si>
  <si>
    <t>Rent, Govt, Wallet load, Education, Insurance, Jewellery, Fuel spends are excluded</t>
  </si>
  <si>
    <t>Rent, Govt, Wallet load, Insurance, Education,  Fuel spends are excluded</t>
  </si>
  <si>
    <t>Rent, Govt, Education are not counted for AF waiver</t>
  </si>
  <si>
    <t>1%
limits: unclear</t>
  </si>
  <si>
    <t>1% on payments done via third-party Apps</t>
  </si>
  <si>
    <t>1% on Txns above Rs.50000</t>
  </si>
  <si>
    <t>1% on Txns above Rs.10000</t>
  </si>
  <si>
    <t>Rent, Govt, Education are not counted for AF waiver for paid cards</t>
  </si>
  <si>
    <t>Excluded Categories:
- Govt Services / TAX: 0%
- Rent: 0%
- Wallet Load: 0%
- Insurance: 3%
- Education: 3%
- Jewellery: 3%
- Fuel: 0%
- Utility Bill payments: 3%</t>
  </si>
  <si>
    <t>Excluded Categories:
- Govt Services / TAX: 0%
- Rent: 0%
- Wallet Load: 1%
- Insurance: 2%
- Education: 1%
- Jewellery: 1%
- Fuel: 0%
- Utility Bill payments: 2%</t>
  </si>
  <si>
    <t>Fuel, Rent, Govt spends are excluded</t>
  </si>
  <si>
    <t>Fuel, Rent, wallet loads Govt spends are excluded</t>
  </si>
  <si>
    <t>Excluded Categories:
- Govt Services / TAX: 0%
- Rent: 0%
- Wallet Load: 0%
- Insurance: 0.25%
- Education: 0.25%
- Jewellery:0.25%
- Fuel: 0%
- Utility Bill payments: 0.25%</t>
  </si>
  <si>
    <t>1% on Txns above Rs.50001</t>
  </si>
  <si>
    <t>All these spends are excluded from earning Edge Miles</t>
  </si>
  <si>
    <t>Rs.199+GST per Txn</t>
  </si>
  <si>
    <t>Excluded Categories:
- Govt Services / TAX: 0%
- Rent: 0%
- Wallet Load: 0%
- Insurance: 0.25%
- Education: 0.25%
- Jewellery: 0.25%
- Fuel: 0%
- Utility Bill payments: 0%</t>
  </si>
  <si>
    <t>Utility, Fuel, Rent, Govt spends are excluded</t>
  </si>
  <si>
    <t>Excluded Categories:
- Govt Services / TAX: 0%
- Rent: 0%
- Wallet Load: 0%
- Insurance: 0.16%
- Education: 0.16%
- Jewellery: 0.16%
- Fuel: 0%
- Utility Bill payments: 0.16%</t>
  </si>
  <si>
    <r>
      <t xml:space="preserve">Excluded Categories:
- Govt Services / TAX: 0%
- Rent: 0%
- Wallet Load: 0%
- Insurance: 0.26%
- Education: 0.26%
- Jewellery:0.26%
- Fuel: 0% - </t>
    </r>
    <r>
      <rPr>
        <sz val="11"/>
        <color rgb="FFFF0000"/>
        <rFont val="Calibri"/>
        <family val="2"/>
        <scheme val="minor"/>
      </rPr>
      <t>Non BPCL Fuel spends</t>
    </r>
    <r>
      <rPr>
        <sz val="11"/>
        <color theme="1"/>
        <rFont val="Calibri"/>
        <family val="2"/>
        <scheme val="minor"/>
      </rPr>
      <t xml:space="preserve">
- Utility Bill payments: 0.26%</t>
    </r>
  </si>
  <si>
    <t>Excluded Categories:
- Govt Services / TAX: 0%
- Rent: 0%
- Wallet Load: 0%
- Insurance: 0.5%
- Education: 0.5%
- Jewellery: 0.5%
- Fuel: 0%
- Utility Bill payments: 0.5%</t>
  </si>
  <si>
    <t xml:space="preserve"> Fuel, wallet load,  Rent, Govt spends are excluded</t>
  </si>
  <si>
    <t xml:space="preserve"> Non-BPCL Fuel, Rent, wallet load Govt spends are excluded</t>
  </si>
  <si>
    <t xml:space="preserve"> wallet load, Fuel, Rent, Govt spends are excluded</t>
  </si>
  <si>
    <t>wallet load, Fuel, Rent, Govt spends are excluded</t>
  </si>
  <si>
    <t>1%
Txn between: 200- 5000
Max Cap: 400 / month</t>
  </si>
  <si>
    <t>1% of Txn amount</t>
  </si>
  <si>
    <t>1% of Txn amount
Min Rs.249+GST</t>
  </si>
  <si>
    <t xml:space="preserve">1% if Txn amount exceeds Rs.20000 </t>
  </si>
  <si>
    <t>Excluded Categories:
- Govt Services / TAX: 0.83%
- Rent: 0.83%
- Wallet Load: 0.83%
- Insurance: 0.167%
- Education: 083%
- Jewellery:0.83%
- Fuel: 0%
- Utility Bill payments: 0.17%</t>
  </si>
  <si>
    <t>Govt, Educatio, Wallet load Txns are excluded from 10X threshold calc</t>
  </si>
  <si>
    <t>Excluded Categories:
- Govt Services / TAX: 0.5%
- Rent: 0.5%
- Wallet Load: 0.5%
- Insurance: 0.17%
- Education: 0.5%
- Jewellery:0.5%
- Fuel: 0%
- Utility Bill payments: 0.17%</t>
  </si>
  <si>
    <t>Excluded Categories:
- Govt Services / TAX: 1%
- Rent: 400 RP on Rent Txn above 20k
- Wallet Load: 1%
- Insurance: 1%
- Education: 1%
- Jewellery: 1%
- Fuel: 0%
- Utility Bill payments: 1%</t>
  </si>
  <si>
    <t>Excluded Categories:
- Govt Services / TAX: 0.33%
- Rent: 0.33%
- Wallet Load: 0.33%
- Insurance: 0.33%
- Education: 0.33%
- Jewellery:0.33%
- Fuel: 5%
- Utility Bill payments: 5%</t>
  </si>
  <si>
    <t xml:space="preserve">1% of Txn amount
</t>
  </si>
  <si>
    <t>1% if Txn amount exceeds Rs.50000</t>
  </si>
  <si>
    <t>1% if Txn amount exceeds Rs.10000</t>
  </si>
  <si>
    <t>All These categories are excluded</t>
  </si>
  <si>
    <t>1% if Txn amount exceeds Rs.10001</t>
  </si>
  <si>
    <t>1% if Txn amount exceeds Rs.10002</t>
  </si>
  <si>
    <t>1% if Txn amount exceeds Rs.10003</t>
  </si>
  <si>
    <t>1% if Txn amount exceeds Rs.10004</t>
  </si>
  <si>
    <t>1% if Txn amount exceeds Rs.10005</t>
  </si>
  <si>
    <t xml:space="preserve">1%
Txn between: 500- 3000
Max Rs.250 / month
</t>
  </si>
  <si>
    <t xml:space="preserve">1%
Txn between: 500- 4000
Max Rs.500 / month
</t>
  </si>
  <si>
    <t xml:space="preserve">1%
Txn between: 400- 4000
No capping
</t>
  </si>
  <si>
    <t>1% per txn</t>
  </si>
  <si>
    <t>1% if Txn exceeds 45000 per stmt cycle via third-party Apps/Sites</t>
  </si>
  <si>
    <t>1% on Txn amt baove Rs.20000 per stmt cycle</t>
  </si>
  <si>
    <t>1% on Txn amt baove Rs.25000 per stmt cycle</t>
  </si>
  <si>
    <t>Excluded Categories:
- Govt Services / TAX: 0.7%
- Rent: 0.7%
- Wallet Load: 0.7%
- Insurance: 0.7%
- Education: 0.7%
- Jewellery:0.7%
- Fuel: 0%
- Utility Bill payments: 0.7%</t>
  </si>
  <si>
    <t>0.4%
(1 RP = 1.2 Airmile)</t>
  </si>
  <si>
    <t>Excluded Categories:
- Govt Services / TAX:0.8%
- Rent: 0.8%
- Wallet Load: 0.8%
- Insurance: 0.8%
- Education: 0.8%
- Jewellery:0.8%
- Fuel: 0%
- Utility Bill payments: 0.8%</t>
  </si>
  <si>
    <t>1% above Rs.15000 in a month</t>
  </si>
  <si>
    <t>Rent &amp; wallet Txns are excluded</t>
  </si>
  <si>
    <t>0.75% per Txn</t>
  </si>
  <si>
    <t>1% above 10000 Txn amt per stmt cycle</t>
  </si>
  <si>
    <t>!% per Txn done via third-party Apps</t>
  </si>
  <si>
    <t>1% above 50000 per stmt cycle</t>
  </si>
  <si>
    <t>YES</t>
  </si>
  <si>
    <t>Fuel, Insurance, Utilty</t>
  </si>
  <si>
    <t>Insurance</t>
  </si>
  <si>
    <t>Excluded Categories:
- Govt Services / TAX: 12%
- Rent: 12%
- Wallet Load: 12%
- Insurance: 0%
- Education: 12%
- Jewellery: 12%
- Fuel: 0%
- Utility Bill payments: 0%</t>
  </si>
  <si>
    <t>Excluded Categories:
- Govt Services / TAX: 18%
- Rent: 18%
- Wallet Load: 18%
- Insurance: 0%
- Education: 18%
- Jewellery: 18%
- Fuel: 0%
- Utility Bill payments: 0%</t>
  </si>
  <si>
    <t>Excluded Categories:
- Govt Services / TAX: 18%
- Rent: 18%
- Wallet Load: 18%
- Insurance: 0%
- Education: 18%
- Jewellery: 18%
- Fuel: 18%
- Utility Bill payments: 18%</t>
  </si>
  <si>
    <t>Excluded Categories:
- Govt Services / TAX: 2%
- Rent: 2%
- Wallet Load: 2%
- Insurance: 2%
- Education: 2%
- Jewellery:2%
- Fuel: 0%
- Utility Bill payments: 0.33%</t>
  </si>
  <si>
    <t>Excluded Categories:
- Govt Services / TAX: 0.25%
- Rent: 0.25%
- Wallet Load: 0.25%
- Insurance: 0.25%
- Education: 0.25%
- Jewellery: 0.25%
- Fuel: 0%
- Utility Bill payments: 0.25%</t>
  </si>
  <si>
    <t>Excluded Categories:
- Govt Services / TAX: 0.5%
- Rent: 0.5%
- Wallet Load: 0.5%
- Insurance: 0.5%
- Education: 0.5%
- Jewellery: 0.5%
- Fuel: 0%
- Utility Bill payments: 0.5%</t>
  </si>
  <si>
    <t>Excluded Categories:
- Govt Services / TAX: 1%
- Rent: 0%
- Wallet Load: 0%
- Insurance: 0.25%
- Education: 0%
- Jewellery:0%
- Fuel: 0%
- Utility Bill payments: 2%</t>
  </si>
  <si>
    <t>Rent, wallet, education, Jewellery, Fuel</t>
  </si>
  <si>
    <t>Excluded Categories:
- Govt Services / TAX: 0%
- Rent: 0%
- Wallet Load: 0%
- Insurance: 0%
- Education: 0%
- Jewellery:0%
- Fuel: 7.5%
- Utility Bill payments: 1%</t>
  </si>
  <si>
    <t>Excluded Categories:
- Govt Services / TAX: 0.5%
- Rent: 0%
- Wallet Load: 0%
- Insurance: 0.5%
- Education: 0.5%
- Jewellery:0.5%
- Fuel:0%
- Utility Bill payments: 0.5%</t>
  </si>
  <si>
    <t>Rent &amp; wallet, Govt, education, Insurance, Jewellery Txns are excluded</t>
  </si>
  <si>
    <t>Excluded Categories:
- Govt Services / TAX: 0.25%
- Rent: 0%
- Wallet Load: 0%
- Insurance: 0.25%
- Education: 0.25%
- Jewellery:0.25%
- Fuel: 0%
- Utility Bill payments: 0.25%</t>
  </si>
  <si>
    <t>Fuel, Rent &amp; wallet Txns are excluded</t>
  </si>
  <si>
    <t>All these categories are excluded</t>
  </si>
  <si>
    <t>Excluded Categories:
- Govt Services / TAX: 3%
- Rent: 3%
- Wallet Load: 3%
- Insurance: 3%
- Education: 3%
- Jewellery: 3%
- Fuel: 0%
- Utility Bill payments: 3%</t>
  </si>
  <si>
    <t>Excluded Categories:
- Govt Services / TAX: 0%
- Rent: 0%
- Wallet Load: 0%
- Insurance: 0%
- Education: 0%
- Jewellery:0%
- Fuel: 0%
- Utility Bill payments: 1.5%</t>
  </si>
  <si>
    <t>Excluded Categories:
- Govt Services / TAX: 0.67%
- Rent: 0.67%
- Wallet Load: 0.67%
- Insurance: 0.67%
- Education: 0.67%
- Jewellery:0.67%
- Fuel: 0%
- Utility Bill payments: 0.67%</t>
  </si>
  <si>
    <t>All categories are excluded except utility</t>
  </si>
  <si>
    <t>Excluded Categories:
- Govt Services / TAX: 0.4%
- Rent: 0.4%
- Wallet Load: 0.4%
- Insurance: 0.4%
- Education: 0.4%
- Jewellery:0.4%
- Fuel: 0.4%
- Utility Bill payments: 0.4%</t>
  </si>
  <si>
    <t>Excluded Categories:
- Govt Services / TAX: 1.25%
- Rent: 0%
- Wallet Load: 0%
- Insurance:1.25%
- Education: 1.25%
- Jewellery:1.25%
- Fuel: 0%
- Utility Bill payments: 1.25%</t>
  </si>
  <si>
    <t>Rent, wallet , Fuel</t>
  </si>
  <si>
    <t>Excluded Categories:
- Govt Services / TAX: 0%
- Rent: 0%
- Wallet Load: 0%
- Insurance: 2%
- Education: 2%
- Jewellery:2%
- Fuel: 0%
- Utility Bill payments: 2%</t>
  </si>
  <si>
    <t>Govt, Rent, wallet &amp; Fuel</t>
  </si>
  <si>
    <t>Excluded Categories:
- Govt Services / TAX: 0.5%
- Rent: 0%
- Wallet Load: 0%
- Insurance: 0.5%
- Education: 0.5%
- Jewellery: 0.5%
- Fuel: 4%
- Utility Bill payments: 0.5%</t>
  </si>
  <si>
    <t>Rent &amp; wallet</t>
  </si>
  <si>
    <t>Excluded Categories:
- Govt Services / TAX: 0.27%
- Rent: 0%
- Wallet Load: 0%
- Insurance: 0.27%
- Education: 0.27%
- Jewellery:0.27%
- Fuel: 0%
- Utility Bill payments: 0.27%</t>
  </si>
  <si>
    <t>Rent, wallet, Fuel</t>
  </si>
  <si>
    <t>Excluded Categories:
- Govt Services / TAX: 0.83%
- Rent: 0.83%
- Wallet Load: 0.83%
- Insurance: 0.83%
- Education: 0.83%
- Jewellery:0.83%
- Fuel: 0%
- Utility Bill payments: 0.83%</t>
  </si>
  <si>
    <t>Excluded Categories:
- Govt Services / TAX: 0.5%
- Rent: 0.5%
- Wallet Load: 0.5%
- Insurance: 0.5%
- Education: 0.5%
- Jewellery:0.5%
- Fuel: 0%
- Utility Bill payments: 0.5%</t>
  </si>
  <si>
    <t>Excluded Categories:
- Govt Services / TAX: 1.67%
- Rent: 1.67%
- Wallet Load: 1.67%
- Insurance: 1.67%
- Education: 1.67%
- Jewellery:1.67%
- Fuel: 0%
- Utility Bill payments: 2%</t>
  </si>
  <si>
    <t>Excluded Categories:
- Govt Services / TAX: 1%
- Rent: 1%
- Wallet Load: 1%
- Insurance: 1%
- Education: 1%
- Jewellery: 1%
- Fuel: 0%
- Utility Bill payments: 2.25%</t>
  </si>
  <si>
    <t>Excluded Categories:
- Govt Services / TAX: 0%
- Rent: 2%
- Wallet Load: 0%
- Insurance: 2%
- Education: 2%
- Jewellery: 2%
- Fuel: 0%
- Utility Bill payments: 2%</t>
  </si>
  <si>
    <t>Govt, wallet Fuel</t>
  </si>
  <si>
    <t>1% on Txn amt above 50000
caped at Rs.3000</t>
  </si>
  <si>
    <t>1% up to 5000
Max Rs.400</t>
  </si>
  <si>
    <t>1% up to Txn of Rs.5000
Max Rs.400</t>
  </si>
  <si>
    <t>Govt, Rent, wallet, fuel</t>
  </si>
  <si>
    <t>Excluded Categories:
- Govt Services / TAX: 0%
- Rent: 0%
- Wallet Load: 0%
- Insurance: 0%
- Education: 0%
- Jewellery:0%
- Fuel: 0%
- Utility Bill payments: 2.5%</t>
  </si>
  <si>
    <t>Excluded Categories:
- Govt Services / TAX: 0%
- Rent: 0%
- Wallet Load: 0%
- Insurance: 0%
- Education: 0%
- Jewellery:0%
- Fuel: 0%
- Utility Bill payments: 0.20%</t>
  </si>
  <si>
    <t>Excluded Categories:
- Govt Services / TAX: 0%
- Rent: 0%
- Wallet Load: 0%
- Insurance: 0%
- Education: 0%
- Jewellery:0%
- Fuel: 0%
- Utility Bill payments: 0.16%</t>
  </si>
  <si>
    <t>All are excluded except utility</t>
  </si>
  <si>
    <t>***updating this block…......***</t>
  </si>
  <si>
    <t>HDFC INFINIA / 
ICICI E.P.M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</si>
</sst>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 #,##0"/>
    <numFmt numFmtId="165" formatCode="&quot;₹&quot;\ #,##0.00"/>
  </numFmts>
  <fonts count="63" x14ac:knownFonts="1">
    <font>
      <sz val="11"/>
      <color theme="1"/>
      <name val="Calibri"/>
      <family val="2"/>
      <scheme val="minor"/>
    </font>
    <font>
      <b/>
      <sz val="11"/>
      <color theme="1"/>
      <name val="Calibri"/>
      <family val="2"/>
      <scheme val="minor"/>
    </font>
    <font>
      <b/>
      <sz val="11"/>
      <color theme="0"/>
      <name val="Calibri"/>
      <family val="2"/>
      <scheme val="minor"/>
    </font>
    <font>
      <sz val="11"/>
      <color rgb="FFFF0000"/>
      <name val="Calibri"/>
      <family val="2"/>
      <scheme val="minor"/>
    </font>
    <font>
      <sz val="11"/>
      <color theme="0"/>
      <name val="Calibri"/>
      <family val="2"/>
      <scheme val="minor"/>
    </font>
    <font>
      <u/>
      <sz val="11"/>
      <color theme="10"/>
      <name val="Calibri"/>
      <family val="2"/>
      <scheme val="minor"/>
    </font>
    <font>
      <sz val="11"/>
      <color theme="10"/>
      <name val="Calibri"/>
      <family val="2"/>
      <scheme val="minor"/>
    </font>
    <font>
      <b/>
      <sz val="9"/>
      <color rgb="FF1C1C1C"/>
      <name val="Segoe UI"/>
      <family val="2"/>
    </font>
    <font>
      <sz val="11"/>
      <color rgb="FF00B050"/>
      <name val="Calibri"/>
      <family val="2"/>
      <scheme val="minor"/>
    </font>
    <font>
      <sz val="11"/>
      <color rgb="FFFFC000"/>
      <name val="Calibri"/>
      <family val="2"/>
      <scheme val="minor"/>
    </font>
    <font>
      <sz val="11"/>
      <color rgb="FF1C1C1C"/>
      <name val="Segoe UI"/>
      <family val="2"/>
    </font>
    <font>
      <sz val="11"/>
      <color rgb="FF003300"/>
      <name val="Calibri"/>
      <family val="2"/>
      <scheme val="minor"/>
    </font>
    <font>
      <b/>
      <sz val="11"/>
      <color rgb="FF00B050"/>
      <name val="Calibri"/>
      <family val="2"/>
      <scheme val="minor"/>
    </font>
    <font>
      <b/>
      <sz val="11"/>
      <color rgb="FF1C1C1C"/>
      <name val="Segoe UI"/>
      <family val="2"/>
    </font>
    <font>
      <sz val="11"/>
      <color rgb="FF000000"/>
      <name val="Calibri"/>
      <family val="2"/>
      <scheme val="minor"/>
    </font>
    <font>
      <sz val="11"/>
      <color rgb="FFC00000"/>
      <name val="Calibri"/>
      <family val="2"/>
      <scheme val="minor"/>
    </font>
    <font>
      <sz val="11"/>
      <color rgb="FF1C1C1C"/>
      <name val="Calibri"/>
      <family val="2"/>
      <scheme val="minor"/>
    </font>
    <font>
      <sz val="11"/>
      <color rgb="FFFF0000"/>
      <name val="Segoe UI"/>
      <family val="2"/>
    </font>
    <font>
      <b/>
      <sz val="11"/>
      <color rgb="FFFFFF00"/>
      <name val="Calibri"/>
      <family val="2"/>
      <scheme val="minor"/>
    </font>
    <font>
      <sz val="11"/>
      <color theme="4" tint="-0.249977111117893"/>
      <name val="Calibri"/>
      <family val="2"/>
      <scheme val="minor"/>
    </font>
    <font>
      <sz val="11"/>
      <color theme="7" tint="-0.499984740745262"/>
      <name val="Calibri"/>
      <family val="2"/>
      <scheme val="minor"/>
    </font>
    <font>
      <sz val="11"/>
      <color theme="1"/>
      <name val="Calibri"/>
      <family val="2"/>
      <scheme val="minor"/>
    </font>
    <font>
      <b/>
      <sz val="9"/>
      <color theme="1"/>
      <name val="Segoe UI"/>
      <family val="2"/>
    </font>
    <font>
      <i/>
      <sz val="11"/>
      <color rgb="FF003300"/>
      <name val="Calibri"/>
      <family val="2"/>
      <scheme val="minor"/>
    </font>
    <font>
      <sz val="11"/>
      <color rgb="FF00B050"/>
      <name val="Segoe UI"/>
      <family val="2"/>
    </font>
    <font>
      <sz val="14"/>
      <color theme="1"/>
      <name val="Calibri"/>
      <family val="2"/>
      <scheme val="minor"/>
    </font>
    <font>
      <sz val="14"/>
      <color rgb="FF00B050"/>
      <name val="Calibri"/>
      <family val="2"/>
      <scheme val="minor"/>
    </font>
    <font>
      <b/>
      <sz val="14"/>
      <color theme="0"/>
      <name val="Calibri"/>
      <family val="2"/>
      <scheme val="minor"/>
    </font>
    <font>
      <b/>
      <sz val="14"/>
      <color theme="1"/>
      <name val="Calibri"/>
      <family val="2"/>
      <scheme val="minor"/>
    </font>
    <font>
      <sz val="11"/>
      <color theme="5"/>
      <name val="Calibri"/>
      <family val="2"/>
      <scheme val="minor"/>
    </font>
    <font>
      <sz val="12"/>
      <color theme="1"/>
      <name val="Calibri"/>
      <family val="2"/>
      <scheme val="minor"/>
    </font>
    <font>
      <sz val="12"/>
      <color rgb="FF00B050"/>
      <name val="Calibri"/>
      <family val="2"/>
      <scheme val="minor"/>
    </font>
    <font>
      <b/>
      <sz val="18"/>
      <color theme="0"/>
      <name val="Calibri"/>
      <family val="2"/>
      <scheme val="minor"/>
    </font>
    <font>
      <sz val="20"/>
      <color theme="1"/>
      <name val="Calibri"/>
      <family val="2"/>
      <scheme val="minor"/>
    </font>
    <font>
      <b/>
      <sz val="24"/>
      <color theme="0"/>
      <name val="Calibri"/>
      <family val="2"/>
      <scheme val="minor"/>
    </font>
    <font>
      <b/>
      <sz val="22"/>
      <color theme="0"/>
      <name val="Calibri"/>
      <family val="2"/>
      <scheme val="minor"/>
    </font>
    <font>
      <b/>
      <sz val="16"/>
      <color theme="0"/>
      <name val="Calibri"/>
      <family val="2"/>
      <scheme val="minor"/>
    </font>
    <font>
      <sz val="14"/>
      <color rgb="FFFF0000"/>
      <name val="Calibri"/>
      <family val="2"/>
      <scheme val="minor"/>
    </font>
    <font>
      <b/>
      <sz val="16"/>
      <color theme="1"/>
      <name val="Calibri"/>
      <family val="2"/>
      <scheme val="minor"/>
    </font>
    <font>
      <sz val="16"/>
      <color theme="1"/>
      <name val="Calibri"/>
      <family val="2"/>
      <scheme val="minor"/>
    </font>
    <font>
      <b/>
      <sz val="18"/>
      <color rgb="FFFF0000"/>
      <name val="Calibri"/>
      <family val="2"/>
      <scheme val="minor"/>
    </font>
    <font>
      <b/>
      <sz val="18"/>
      <color theme="1"/>
      <name val="Calibri"/>
      <family val="2"/>
      <scheme val="minor"/>
    </font>
    <font>
      <sz val="18"/>
      <color theme="1"/>
      <name val="Calibri"/>
      <family val="2"/>
      <scheme val="minor"/>
    </font>
    <font>
      <sz val="12"/>
      <color rgb="FF1C1C1C"/>
      <name val="Segoe UI"/>
      <family val="2"/>
    </font>
    <font>
      <sz val="24"/>
      <color theme="1"/>
      <name val="Calibri"/>
      <family val="2"/>
      <scheme val="minor"/>
    </font>
    <font>
      <b/>
      <sz val="24"/>
      <color rgb="FF00B050"/>
      <name val="Calibri"/>
      <family val="2"/>
      <scheme val="minor"/>
    </font>
    <font>
      <b/>
      <sz val="22"/>
      <color rgb="FF00B050"/>
      <name val="Calibri"/>
      <family val="2"/>
      <scheme val="minor"/>
    </font>
    <font>
      <b/>
      <sz val="20"/>
      <color rgb="FF00B050"/>
      <name val="Calibri"/>
      <family val="2"/>
      <scheme val="minor"/>
    </font>
    <font>
      <sz val="22"/>
      <color theme="1"/>
      <name val="Calibri"/>
      <family val="2"/>
      <scheme val="minor"/>
    </font>
    <font>
      <sz val="26"/>
      <color theme="1"/>
      <name val="Calibri"/>
      <family val="2"/>
      <scheme val="minor"/>
    </font>
    <font>
      <sz val="28"/>
      <color theme="1"/>
      <name val="Calibri"/>
      <family val="2"/>
      <scheme val="minor"/>
    </font>
    <font>
      <b/>
      <sz val="26"/>
      <color rgb="FF00B050"/>
      <name val="Calibri"/>
      <family val="2"/>
      <scheme val="minor"/>
    </font>
    <font>
      <sz val="11"/>
      <color theme="9" tint="-0.249977111117893"/>
      <name val="Calibri"/>
      <family val="2"/>
      <scheme val="minor"/>
    </font>
    <font>
      <i/>
      <sz val="11"/>
      <color rgb="FF00B050"/>
      <name val="Calibri"/>
      <family val="2"/>
      <scheme val="minor"/>
    </font>
    <font>
      <b/>
      <sz val="12"/>
      <color theme="1"/>
      <name val="Calibri"/>
      <family val="2"/>
      <scheme val="minor"/>
    </font>
    <font>
      <b/>
      <sz val="26"/>
      <color theme="1"/>
      <name val="Calibri"/>
      <family val="2"/>
      <scheme val="minor"/>
    </font>
    <font>
      <b/>
      <sz val="20"/>
      <color rgb="FFFF0000"/>
      <name val="Calibri"/>
      <family val="2"/>
      <scheme val="minor"/>
    </font>
    <font>
      <b/>
      <sz val="20"/>
      <color theme="1"/>
      <name val="Calibri"/>
      <family val="2"/>
      <scheme val="minor"/>
    </font>
    <font>
      <b/>
      <sz val="22"/>
      <color theme="1"/>
      <name val="Calibri"/>
      <family val="2"/>
      <scheme val="minor"/>
    </font>
    <font>
      <b/>
      <sz val="36"/>
      <color theme="0"/>
      <name val="Calibri"/>
      <family val="2"/>
      <scheme val="minor"/>
    </font>
    <font>
      <b/>
      <sz val="26"/>
      <color rgb="FFFF0000"/>
      <name val="Calibri"/>
      <family val="2"/>
      <scheme val="minor"/>
    </font>
    <font>
      <b/>
      <sz val="48"/>
      <color theme="1"/>
      <name val="Calibri"/>
      <family val="2"/>
      <scheme val="minor"/>
    </font>
    <font>
      <sz val="8"/>
      <name val="Calibri"/>
      <family val="2"/>
      <scheme val="minor"/>
    </font>
  </fonts>
  <fills count="40">
    <fill>
      <patternFill patternType="none"/>
    </fill>
    <fill>
      <patternFill patternType="gray125"/>
    </fill>
    <fill>
      <patternFill patternType="solid">
        <fgColor theme="1"/>
        <bgColor indexed="64"/>
      </patternFill>
    </fill>
    <fill>
      <patternFill patternType="solid">
        <fgColor rgb="FF660033"/>
        <bgColor indexed="64"/>
      </patternFill>
    </fill>
    <fill>
      <patternFill patternType="solid">
        <fgColor theme="0"/>
        <bgColor indexed="64"/>
      </patternFill>
    </fill>
    <fill>
      <patternFill patternType="solid">
        <fgColor theme="0" tint="-4.9989318521683403E-2"/>
        <bgColor indexed="64"/>
      </patternFill>
    </fill>
    <fill>
      <patternFill patternType="solid">
        <fgColor rgb="FF7030A0"/>
        <bgColor indexed="64"/>
      </patternFill>
    </fill>
    <fill>
      <patternFill patternType="solid">
        <fgColor theme="3"/>
        <bgColor indexed="64"/>
      </patternFill>
    </fill>
    <fill>
      <patternFill patternType="solid">
        <fgColor theme="9" tint="-0.249977111117893"/>
        <bgColor indexed="64"/>
      </patternFill>
    </fill>
    <fill>
      <patternFill patternType="solid">
        <fgColor rgb="FFF2F2F2"/>
        <bgColor rgb="FF000000"/>
      </patternFill>
    </fill>
    <fill>
      <patternFill patternType="solid">
        <fgColor rgb="FFFF0000"/>
        <bgColor indexed="64"/>
      </patternFill>
    </fill>
    <fill>
      <patternFill patternType="solid">
        <fgColor theme="5" tint="-0.249977111117893"/>
        <bgColor indexed="64"/>
      </patternFill>
    </fill>
    <fill>
      <patternFill patternType="solid">
        <fgColor rgb="FFDE5A00"/>
        <bgColor indexed="64"/>
      </patternFill>
    </fill>
    <fill>
      <patternFill patternType="solid">
        <fgColor rgb="FF92D050"/>
        <bgColor indexed="64"/>
      </patternFill>
    </fill>
    <fill>
      <patternFill patternType="solid">
        <fgColor rgb="FF0070C0"/>
        <bgColor indexed="64"/>
      </patternFill>
    </fill>
    <fill>
      <patternFill patternType="solid">
        <fgColor theme="4" tint="-0.249977111117893"/>
        <bgColor indexed="64"/>
      </patternFill>
    </fill>
    <fill>
      <patternFill patternType="solid">
        <fgColor rgb="FF8C3230"/>
        <bgColor indexed="64"/>
      </patternFill>
    </fill>
    <fill>
      <patternFill patternType="solid">
        <fgColor rgb="FF00B0F0"/>
        <bgColor indexed="64"/>
      </patternFill>
    </fill>
    <fill>
      <patternFill patternType="solid">
        <fgColor theme="7" tint="-0.499984740745262"/>
        <bgColor indexed="64"/>
      </patternFill>
    </fill>
    <fill>
      <patternFill patternType="solid">
        <fgColor theme="2" tint="-0.499984740745262"/>
        <bgColor indexed="64"/>
      </patternFill>
    </fill>
    <fill>
      <patternFill patternType="solid">
        <fgColor theme="2" tint="-0.749992370372631"/>
        <bgColor indexed="64"/>
      </patternFill>
    </fill>
    <fill>
      <patternFill patternType="solid">
        <fgColor theme="4"/>
        <bgColor indexed="64"/>
      </patternFill>
    </fill>
    <fill>
      <patternFill patternType="solid">
        <fgColor rgb="FFC00000"/>
        <bgColor indexed="64"/>
      </patternFill>
    </fill>
    <fill>
      <patternFill patternType="solid">
        <fgColor theme="9"/>
        <bgColor indexed="64"/>
      </patternFill>
    </fill>
    <fill>
      <patternFill patternType="solid">
        <fgColor theme="5"/>
        <bgColor indexed="64"/>
      </patternFill>
    </fill>
    <fill>
      <patternFill patternType="solid">
        <fgColor theme="7"/>
        <bgColor indexed="64"/>
      </patternFill>
    </fill>
    <fill>
      <patternFill patternType="solid">
        <fgColor theme="4" tint="0.79998168889431442"/>
        <bgColor indexed="64"/>
      </patternFill>
    </fill>
    <fill>
      <patternFill patternType="solid">
        <fgColor theme="6"/>
        <bgColor indexed="64"/>
      </patternFill>
    </fill>
    <fill>
      <patternFill patternType="solid">
        <fgColor theme="6" tint="0.79998168889431442"/>
        <bgColor indexed="64"/>
      </patternFill>
    </fill>
    <fill>
      <patternFill patternType="solid">
        <fgColor theme="6" tint="-0.499984740745262"/>
        <bgColor indexed="64"/>
      </patternFill>
    </fill>
    <fill>
      <patternFill patternType="solid">
        <fgColor theme="7" tint="0.79998168889431442"/>
        <bgColor indexed="64"/>
      </patternFill>
    </fill>
    <fill>
      <patternFill patternType="solid">
        <fgColor theme="2"/>
        <bgColor indexed="64"/>
      </patternFill>
    </fill>
    <fill>
      <patternFill patternType="solid">
        <fgColor theme="5" tint="-0.499984740745262"/>
        <bgColor indexed="64"/>
      </patternFill>
    </fill>
    <fill>
      <patternFill patternType="solid">
        <fgColor theme="5" tint="0.79998168889431442"/>
        <bgColor indexed="64"/>
      </patternFill>
    </fill>
    <fill>
      <patternFill patternType="solid">
        <fgColor theme="8" tint="-0.499984740745262"/>
        <bgColor indexed="64"/>
      </patternFill>
    </fill>
    <fill>
      <patternFill patternType="solid">
        <fgColor theme="8" tint="0.79998168889431442"/>
        <bgColor indexed="64"/>
      </patternFill>
    </fill>
    <fill>
      <patternFill patternType="solid">
        <fgColor theme="3" tint="0.59999389629810485"/>
        <bgColor indexed="64"/>
      </patternFill>
    </fill>
    <fill>
      <patternFill patternType="solid">
        <fgColor theme="1" tint="0.14999847407452621"/>
        <bgColor indexed="64"/>
      </patternFill>
    </fill>
    <fill>
      <patternFill patternType="solid">
        <fgColor theme="1" tint="0.34998626667073579"/>
        <bgColor indexed="64"/>
      </patternFill>
    </fill>
    <fill>
      <patternFill patternType="solid">
        <fgColor theme="0" tint="-4.9989318521683403E-2"/>
        <bgColor rgb="FF000000"/>
      </patternFill>
    </fill>
  </fills>
  <borders count="16">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right/>
      <top style="thin">
        <color auto="1"/>
      </top>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top style="thin">
        <color auto="1"/>
      </top>
      <bottom/>
      <diagonal/>
    </border>
    <border>
      <left/>
      <right style="thin">
        <color auto="1"/>
      </right>
      <top/>
      <bottom/>
      <diagonal/>
    </border>
    <border>
      <left/>
      <right style="thin">
        <color auto="1"/>
      </right>
      <top style="thin">
        <color auto="1"/>
      </top>
      <bottom/>
      <diagonal/>
    </border>
  </borders>
  <cellStyleXfs count="2">
    <xf numFmtId="0" fontId="0" fillId="0" borderId="0"/>
    <xf numFmtId="0" fontId="5" fillId="0" borderId="0" applyNumberFormat="0" applyFill="0" applyBorder="0" applyAlignment="0" applyProtection="0"/>
  </cellStyleXfs>
  <cellXfs count="398">
    <xf numFmtId="0" fontId="0" fillId="0" borderId="0" xfId="0"/>
    <xf numFmtId="0" fontId="0" fillId="0" borderId="0" xfId="0" applyAlignment="1">
      <alignment horizontal="left" vertical="center"/>
    </xf>
    <xf numFmtId="0" fontId="0" fillId="0" borderId="0" xfId="0" applyAlignment="1">
      <alignment horizontal="left" vertical="top" wrapText="1"/>
    </xf>
    <xf numFmtId="0" fontId="0" fillId="0" borderId="0" xfId="0" applyAlignment="1">
      <alignment horizontal="center" vertical="center" wrapText="1"/>
    </xf>
    <xf numFmtId="0" fontId="0" fillId="0" borderId="1" xfId="0" applyBorder="1"/>
    <xf numFmtId="0" fontId="0" fillId="0" borderId="0" xfId="0" applyAlignment="1">
      <alignment horizontal="center" vertical="center"/>
    </xf>
    <xf numFmtId="0" fontId="0" fillId="5" borderId="1" xfId="0" applyFill="1" applyBorder="1" applyAlignment="1">
      <alignment horizontal="left" vertical="top" wrapText="1"/>
    </xf>
    <xf numFmtId="0" fontId="5" fillId="5" borderId="1" xfId="1" applyFill="1" applyBorder="1" applyAlignment="1">
      <alignment horizontal="center" vertical="center"/>
    </xf>
    <xf numFmtId="0" fontId="0" fillId="5" borderId="1" xfId="0" applyFill="1" applyBorder="1" applyAlignment="1">
      <alignment horizontal="center" vertical="center" wrapText="1"/>
    </xf>
    <xf numFmtId="0" fontId="6" fillId="5" borderId="1" xfId="1" applyFont="1" applyFill="1" applyBorder="1" applyAlignment="1">
      <alignment horizontal="center" vertical="center" wrapText="1"/>
    </xf>
    <xf numFmtId="0" fontId="3" fillId="5" borderId="1" xfId="0" applyFont="1" applyFill="1" applyBorder="1" applyAlignment="1">
      <alignment horizontal="center" vertical="center" wrapText="1"/>
    </xf>
    <xf numFmtId="0" fontId="0" fillId="5" borderId="1" xfId="0" applyFill="1" applyBorder="1"/>
    <xf numFmtId="0" fontId="3" fillId="5" borderId="1" xfId="0" applyFont="1" applyFill="1" applyBorder="1" applyAlignment="1">
      <alignment vertical="center" wrapText="1"/>
    </xf>
    <xf numFmtId="0" fontId="0" fillId="0" borderId="0" xfId="0" applyAlignment="1">
      <alignment horizontal="center" wrapText="1"/>
    </xf>
    <xf numFmtId="0" fontId="4" fillId="4" borderId="1" xfId="0" applyFont="1" applyFill="1" applyBorder="1" applyAlignment="1">
      <alignment vertical="center" wrapText="1"/>
    </xf>
    <xf numFmtId="0" fontId="4" fillId="4" borderId="0" xfId="0" applyFont="1" applyFill="1"/>
    <xf numFmtId="164" fontId="0" fillId="5" borderId="1" xfId="0" applyNumberFormat="1" applyFill="1" applyBorder="1" applyAlignment="1">
      <alignment horizontal="center" vertical="center" wrapText="1"/>
    </xf>
    <xf numFmtId="164" fontId="0" fillId="5" borderId="1" xfId="0" applyNumberFormat="1" applyFill="1" applyBorder="1" applyAlignment="1">
      <alignment horizontal="center" vertical="center"/>
    </xf>
    <xf numFmtId="164" fontId="0" fillId="0" borderId="0" xfId="0" applyNumberFormat="1" applyAlignment="1">
      <alignment horizontal="center"/>
    </xf>
    <xf numFmtId="164" fontId="0" fillId="0" borderId="0" xfId="0" applyNumberFormat="1" applyAlignment="1">
      <alignment horizontal="left"/>
    </xf>
    <xf numFmtId="0" fontId="8" fillId="5" borderId="1" xfId="0" applyFont="1" applyFill="1" applyBorder="1" applyAlignment="1">
      <alignment horizontal="center" vertical="center" wrapText="1"/>
    </xf>
    <xf numFmtId="10" fontId="0" fillId="5" borderId="1" xfId="0" applyNumberFormat="1" applyFill="1" applyBorder="1" applyAlignment="1">
      <alignment horizontal="center" vertical="center" wrapText="1"/>
    </xf>
    <xf numFmtId="10" fontId="3" fillId="5" borderId="1" xfId="0" applyNumberFormat="1" applyFont="1" applyFill="1" applyBorder="1" applyAlignment="1">
      <alignment horizontal="center" vertical="center" wrapText="1"/>
    </xf>
    <xf numFmtId="9" fontId="0" fillId="5" borderId="1" xfId="0" applyNumberFormat="1" applyFill="1" applyBorder="1" applyAlignment="1">
      <alignment horizontal="center" vertical="center" wrapText="1"/>
    </xf>
    <xf numFmtId="0" fontId="1" fillId="5" borderId="1" xfId="0" applyFont="1" applyFill="1" applyBorder="1" applyAlignment="1">
      <alignment horizontal="center" vertical="center" wrapText="1"/>
    </xf>
    <xf numFmtId="0" fontId="1" fillId="5" borderId="1" xfId="0" applyFont="1" applyFill="1" applyBorder="1" applyAlignment="1">
      <alignment horizontal="center" vertical="center"/>
    </xf>
    <xf numFmtId="0" fontId="10" fillId="5" borderId="1" xfId="0" applyFont="1" applyFill="1" applyBorder="1" applyAlignment="1">
      <alignment horizontal="center" vertical="center" wrapText="1"/>
    </xf>
    <xf numFmtId="10" fontId="0" fillId="0" borderId="0" xfId="0" applyNumberFormat="1" applyAlignment="1">
      <alignment horizontal="left" vertical="top" wrapText="1"/>
    </xf>
    <xf numFmtId="10" fontId="8" fillId="5" borderId="1" xfId="0" applyNumberFormat="1" applyFont="1" applyFill="1" applyBorder="1" applyAlignment="1">
      <alignment horizontal="center" vertical="center" wrapText="1"/>
    </xf>
    <xf numFmtId="0" fontId="7" fillId="5" borderId="1" xfId="0" applyFont="1" applyFill="1" applyBorder="1" applyAlignment="1">
      <alignment horizontal="center" vertical="center" wrapText="1"/>
    </xf>
    <xf numFmtId="0" fontId="5" fillId="5" borderId="1" xfId="1" applyFill="1" applyBorder="1" applyAlignment="1">
      <alignment horizontal="center" vertical="center" wrapText="1"/>
    </xf>
    <xf numFmtId="164" fontId="8" fillId="5" borderId="1" xfId="0" applyNumberFormat="1" applyFont="1" applyFill="1" applyBorder="1" applyAlignment="1">
      <alignment horizontal="center" vertical="center" wrapText="1"/>
    </xf>
    <xf numFmtId="0" fontId="12" fillId="5" borderId="1" xfId="0" applyFont="1" applyFill="1" applyBorder="1" applyAlignment="1">
      <alignment horizontal="center" vertical="center" wrapText="1"/>
    </xf>
    <xf numFmtId="0" fontId="1" fillId="10" borderId="1" xfId="0" applyFont="1" applyFill="1" applyBorder="1" applyAlignment="1">
      <alignment horizontal="center" vertical="center" wrapText="1"/>
    </xf>
    <xf numFmtId="10" fontId="14" fillId="9" borderId="1" xfId="0" applyNumberFormat="1" applyFont="1" applyFill="1" applyBorder="1" applyAlignment="1">
      <alignment horizontal="center" vertical="center" wrapText="1"/>
    </xf>
    <xf numFmtId="10" fontId="0" fillId="5" borderId="1" xfId="0" applyNumberFormat="1" applyFill="1" applyBorder="1" applyAlignment="1">
      <alignment vertical="center" wrapText="1"/>
    </xf>
    <xf numFmtId="0" fontId="8" fillId="5" borderId="1" xfId="0" applyFont="1" applyFill="1" applyBorder="1" applyAlignment="1">
      <alignment horizontal="left" vertical="top" wrapText="1"/>
    </xf>
    <xf numFmtId="0" fontId="10" fillId="5" borderId="1" xfId="0" applyFont="1" applyFill="1" applyBorder="1" applyAlignment="1">
      <alignment horizontal="left" vertical="top" wrapText="1"/>
    </xf>
    <xf numFmtId="0" fontId="10" fillId="5" borderId="1" xfId="0" applyFont="1" applyFill="1" applyBorder="1" applyAlignment="1">
      <alignment horizontal="left" vertical="top"/>
    </xf>
    <xf numFmtId="10" fontId="0" fillId="5" borderId="1" xfId="0" applyNumberFormat="1" applyFill="1" applyBorder="1" applyAlignment="1">
      <alignment horizontal="left" vertical="top" wrapText="1"/>
    </xf>
    <xf numFmtId="0" fontId="13" fillId="5" borderId="1" xfId="0" applyFont="1" applyFill="1" applyBorder="1" applyAlignment="1">
      <alignment horizontal="center" vertical="center" wrapText="1"/>
    </xf>
    <xf numFmtId="9" fontId="3" fillId="5" borderId="1" xfId="0" applyNumberFormat="1" applyFont="1" applyFill="1" applyBorder="1" applyAlignment="1">
      <alignment horizontal="center" vertical="center" wrapText="1"/>
    </xf>
    <xf numFmtId="0" fontId="8" fillId="9" borderId="1" xfId="0" applyFont="1" applyFill="1" applyBorder="1" applyAlignment="1">
      <alignment horizontal="center" vertical="center" wrapText="1"/>
    </xf>
    <xf numFmtId="164" fontId="10" fillId="5" borderId="1" xfId="0" applyNumberFormat="1" applyFont="1" applyFill="1" applyBorder="1" applyAlignment="1">
      <alignment horizontal="center" vertical="center" wrapText="1"/>
    </xf>
    <xf numFmtId="0" fontId="0" fillId="5" borderId="1" xfId="0" applyFill="1" applyBorder="1" applyAlignment="1">
      <alignment horizontal="left" vertical="center" wrapText="1"/>
    </xf>
    <xf numFmtId="164" fontId="3" fillId="5" borderId="1" xfId="0" applyNumberFormat="1" applyFont="1" applyFill="1" applyBorder="1" applyAlignment="1">
      <alignment vertical="center" wrapText="1"/>
    </xf>
    <xf numFmtId="0" fontId="5" fillId="5" borderId="1" xfId="1" applyFill="1" applyBorder="1" applyAlignment="1">
      <alignment vertical="center"/>
    </xf>
    <xf numFmtId="10" fontId="0" fillId="5" borderId="1" xfId="0" applyNumberFormat="1" applyFill="1" applyBorder="1" applyAlignment="1">
      <alignment horizontal="left" vertical="center" wrapText="1"/>
    </xf>
    <xf numFmtId="9" fontId="0" fillId="5" borderId="1" xfId="0" applyNumberFormat="1" applyFill="1" applyBorder="1" applyAlignment="1">
      <alignment horizontal="left" vertical="center" wrapText="1"/>
    </xf>
    <xf numFmtId="9" fontId="0" fillId="5" borderId="1" xfId="0" applyNumberFormat="1" applyFill="1" applyBorder="1" applyAlignment="1">
      <alignment horizontal="left" vertical="top" wrapText="1"/>
    </xf>
    <xf numFmtId="0" fontId="1" fillId="4" borderId="0" xfId="0" applyFont="1" applyFill="1" applyAlignment="1">
      <alignment vertical="center" wrapText="1"/>
    </xf>
    <xf numFmtId="0" fontId="0" fillId="4" borderId="0" xfId="0" applyFill="1"/>
    <xf numFmtId="164" fontId="0" fillId="5" borderId="1" xfId="0" applyNumberFormat="1" applyFill="1" applyBorder="1" applyAlignment="1">
      <alignment vertical="center"/>
    </xf>
    <xf numFmtId="164" fontId="14" fillId="9" borderId="1" xfId="0" applyNumberFormat="1" applyFont="1" applyFill="1" applyBorder="1" applyAlignment="1">
      <alignment horizontal="center" vertical="center" wrapText="1"/>
    </xf>
    <xf numFmtId="0" fontId="1" fillId="5" borderId="1" xfId="0" applyFont="1" applyFill="1" applyBorder="1" applyAlignment="1">
      <alignment vertical="center" wrapText="1"/>
    </xf>
    <xf numFmtId="9" fontId="8" fillId="5" borderId="1" xfId="0" applyNumberFormat="1" applyFont="1" applyFill="1" applyBorder="1" applyAlignment="1">
      <alignment horizontal="center" vertical="center" wrapText="1"/>
    </xf>
    <xf numFmtId="164" fontId="8" fillId="5" borderId="1" xfId="0" applyNumberFormat="1" applyFont="1" applyFill="1" applyBorder="1" applyAlignment="1">
      <alignment horizontal="center" vertical="center"/>
    </xf>
    <xf numFmtId="0" fontId="16" fillId="5" borderId="1" xfId="0" applyFont="1" applyFill="1" applyBorder="1" applyAlignment="1">
      <alignment vertical="top" wrapText="1"/>
    </xf>
    <xf numFmtId="0" fontId="0" fillId="5" borderId="1" xfId="0" applyFill="1" applyBorder="1" applyAlignment="1">
      <alignment vertical="top" wrapText="1"/>
    </xf>
    <xf numFmtId="164" fontId="0" fillId="10" borderId="1" xfId="0" applyNumberFormat="1" applyFill="1" applyBorder="1" applyAlignment="1">
      <alignment horizontal="center" vertical="center" wrapText="1"/>
    </xf>
    <xf numFmtId="164" fontId="0" fillId="0" borderId="0" xfId="0" applyNumberFormat="1" applyAlignment="1">
      <alignment horizontal="left" vertical="center"/>
    </xf>
    <xf numFmtId="0" fontId="0" fillId="5" borderId="1" xfId="0" applyFill="1" applyBorder="1" applyAlignment="1">
      <alignment horizontal="center" vertical="center"/>
    </xf>
    <xf numFmtId="0" fontId="22" fillId="10" borderId="1" xfId="0" applyFont="1" applyFill="1" applyBorder="1" applyAlignment="1">
      <alignment horizontal="center" vertical="center" wrapText="1"/>
    </xf>
    <xf numFmtId="10" fontId="0" fillId="5" borderId="1" xfId="0" applyNumberFormat="1" applyFill="1" applyBorder="1" applyAlignment="1">
      <alignment horizontal="center" vertical="center"/>
    </xf>
    <xf numFmtId="0" fontId="8" fillId="5" borderId="1" xfId="0" applyFont="1" applyFill="1" applyBorder="1" applyAlignment="1">
      <alignment horizontal="center" vertical="center"/>
    </xf>
    <xf numFmtId="10" fontId="8" fillId="5" borderId="1" xfId="0" applyNumberFormat="1" applyFont="1" applyFill="1" applyBorder="1" applyAlignment="1">
      <alignment horizontal="center" vertical="center"/>
    </xf>
    <xf numFmtId="0" fontId="19" fillId="5" borderId="1" xfId="0" applyFont="1" applyFill="1" applyBorder="1" applyAlignment="1">
      <alignment horizontal="center" vertical="center" wrapText="1"/>
    </xf>
    <xf numFmtId="10" fontId="3" fillId="5" borderId="1" xfId="0" applyNumberFormat="1" applyFont="1" applyFill="1" applyBorder="1" applyAlignment="1">
      <alignment horizontal="center" vertical="center"/>
    </xf>
    <xf numFmtId="0" fontId="15" fillId="5" borderId="1" xfId="0" applyFont="1" applyFill="1" applyBorder="1" applyAlignment="1">
      <alignment horizontal="center" vertical="center" wrapText="1"/>
    </xf>
    <xf numFmtId="164" fontId="14" fillId="9" borderId="1" xfId="0" applyNumberFormat="1" applyFont="1" applyFill="1" applyBorder="1" applyAlignment="1">
      <alignment horizontal="center" vertical="center"/>
    </xf>
    <xf numFmtId="10" fontId="8" fillId="9" borderId="1" xfId="0" applyNumberFormat="1" applyFont="1" applyFill="1" applyBorder="1" applyAlignment="1">
      <alignment horizontal="center" vertical="center" wrapText="1"/>
    </xf>
    <xf numFmtId="0" fontId="16" fillId="5" borderId="1" xfId="0" applyFont="1" applyFill="1" applyBorder="1" applyAlignment="1">
      <alignment horizontal="left" vertical="top" wrapText="1"/>
    </xf>
    <xf numFmtId="164" fontId="25" fillId="4" borderId="1" xfId="0" applyNumberFormat="1" applyFont="1" applyFill="1" applyBorder="1" applyAlignment="1">
      <alignment horizontal="center" vertical="top"/>
    </xf>
    <xf numFmtId="164" fontId="25" fillId="0" borderId="1" xfId="0" applyNumberFormat="1" applyFont="1" applyBorder="1" applyAlignment="1">
      <alignment horizontal="center" vertical="center" wrapText="1"/>
    </xf>
    <xf numFmtId="164" fontId="25" fillId="0" borderId="1" xfId="0" applyNumberFormat="1" applyFont="1" applyBorder="1" applyAlignment="1">
      <alignment horizontal="center"/>
    </xf>
    <xf numFmtId="10" fontId="0" fillId="0" borderId="0" xfId="0" applyNumberFormat="1"/>
    <xf numFmtId="0" fontId="25" fillId="4" borderId="1" xfId="0" applyFont="1" applyFill="1" applyBorder="1" applyAlignment="1">
      <alignment horizontal="center" vertical="center"/>
    </xf>
    <xf numFmtId="0" fontId="25" fillId="0" borderId="1" xfId="0" applyFont="1" applyBorder="1" applyAlignment="1">
      <alignment horizontal="center" vertical="center" wrapText="1"/>
    </xf>
    <xf numFmtId="0" fontId="25" fillId="0" borderId="1" xfId="0" applyFont="1" applyBorder="1" applyAlignment="1">
      <alignment horizontal="center" vertical="center"/>
    </xf>
    <xf numFmtId="0" fontId="25" fillId="0" borderId="4" xfId="0" applyFont="1" applyBorder="1" applyAlignment="1">
      <alignment horizontal="center" vertical="center"/>
    </xf>
    <xf numFmtId="2" fontId="0" fillId="0" borderId="0" xfId="0" applyNumberFormat="1"/>
    <xf numFmtId="2" fontId="25" fillId="0" borderId="1" xfId="0" applyNumberFormat="1" applyFont="1" applyBorder="1" applyAlignment="1">
      <alignment horizontal="center"/>
    </xf>
    <xf numFmtId="2" fontId="25" fillId="0" borderId="4" xfId="0" applyNumberFormat="1" applyFont="1" applyBorder="1" applyAlignment="1">
      <alignment horizontal="center"/>
    </xf>
    <xf numFmtId="2" fontId="0" fillId="0" borderId="0" xfId="0" applyNumberFormat="1" applyAlignment="1">
      <alignment horizontal="center"/>
    </xf>
    <xf numFmtId="2" fontId="25" fillId="0" borderId="1" xfId="0" applyNumberFormat="1" applyFont="1" applyBorder="1" applyAlignment="1">
      <alignment horizontal="center" vertical="center" wrapText="1"/>
    </xf>
    <xf numFmtId="10" fontId="25" fillId="0" borderId="1" xfId="0" applyNumberFormat="1" applyFont="1" applyBorder="1" applyAlignment="1">
      <alignment horizontal="center"/>
    </xf>
    <xf numFmtId="10" fontId="25" fillId="0" borderId="4" xfId="0" applyNumberFormat="1" applyFont="1" applyBorder="1" applyAlignment="1">
      <alignment horizontal="center"/>
    </xf>
    <xf numFmtId="10" fontId="0" fillId="0" borderId="0" xfId="0" applyNumberFormat="1" applyAlignment="1">
      <alignment horizontal="center"/>
    </xf>
    <xf numFmtId="2" fontId="25" fillId="4" borderId="1" xfId="0" applyNumberFormat="1" applyFont="1" applyFill="1" applyBorder="1" applyAlignment="1">
      <alignment horizontal="center" vertical="top"/>
    </xf>
    <xf numFmtId="2" fontId="0" fillId="4" borderId="0" xfId="0" applyNumberFormat="1" applyFill="1" applyAlignment="1">
      <alignment horizontal="center"/>
    </xf>
    <xf numFmtId="2" fontId="25" fillId="0" borderId="7" xfId="0" applyNumberFormat="1" applyFont="1" applyBorder="1" applyAlignment="1">
      <alignment horizontal="center" vertical="center"/>
    </xf>
    <xf numFmtId="10" fontId="25" fillId="4" borderId="1" xfId="0" applyNumberFormat="1" applyFont="1" applyFill="1" applyBorder="1" applyAlignment="1">
      <alignment horizontal="center" vertical="center" wrapText="1"/>
    </xf>
    <xf numFmtId="10" fontId="25" fillId="4" borderId="4" xfId="0" applyNumberFormat="1" applyFont="1" applyFill="1" applyBorder="1" applyAlignment="1">
      <alignment horizontal="center" vertical="center" wrapText="1"/>
    </xf>
    <xf numFmtId="10" fontId="25" fillId="4" borderId="1" xfId="0" applyNumberFormat="1" applyFont="1" applyFill="1" applyBorder="1" applyAlignment="1">
      <alignment horizontal="center" vertical="center"/>
    </xf>
    <xf numFmtId="2" fontId="25" fillId="4" borderId="13" xfId="0" applyNumberFormat="1" applyFont="1" applyFill="1" applyBorder="1" applyAlignment="1">
      <alignment horizontal="center"/>
    </xf>
    <xf numFmtId="10" fontId="25" fillId="4" borderId="4" xfId="0" applyNumberFormat="1" applyFont="1" applyFill="1" applyBorder="1" applyAlignment="1">
      <alignment horizontal="center"/>
    </xf>
    <xf numFmtId="10" fontId="25" fillId="0" borderId="1" xfId="0" applyNumberFormat="1" applyFont="1" applyBorder="1" applyAlignment="1">
      <alignment horizontal="center" vertical="center"/>
    </xf>
    <xf numFmtId="1" fontId="25" fillId="0" borderId="1" xfId="0" applyNumberFormat="1" applyFont="1" applyBorder="1" applyAlignment="1">
      <alignment horizontal="center"/>
    </xf>
    <xf numFmtId="1" fontId="25" fillId="0" borderId="4" xfId="0" applyNumberFormat="1" applyFont="1" applyBorder="1" applyAlignment="1">
      <alignment horizontal="center"/>
    </xf>
    <xf numFmtId="1" fontId="0" fillId="0" borderId="0" xfId="0" applyNumberFormat="1" applyAlignment="1">
      <alignment horizontal="center"/>
    </xf>
    <xf numFmtId="2" fontId="25" fillId="4" borderId="7" xfId="0" applyNumberFormat="1" applyFont="1" applyFill="1" applyBorder="1" applyAlignment="1">
      <alignment horizontal="center" vertical="center" wrapText="1"/>
    </xf>
    <xf numFmtId="2" fontId="25" fillId="4" borderId="7" xfId="0" applyNumberFormat="1" applyFont="1" applyFill="1" applyBorder="1" applyAlignment="1">
      <alignment horizontal="center" vertical="center"/>
    </xf>
    <xf numFmtId="2" fontId="25" fillId="4" borderId="13" xfId="0" applyNumberFormat="1" applyFont="1" applyFill="1" applyBorder="1" applyAlignment="1">
      <alignment horizontal="center" vertical="center" wrapText="1"/>
    </xf>
    <xf numFmtId="2" fontId="25" fillId="4" borderId="1" xfId="0" applyNumberFormat="1" applyFont="1" applyFill="1" applyBorder="1" applyAlignment="1">
      <alignment horizontal="center" vertical="center" wrapText="1"/>
    </xf>
    <xf numFmtId="0" fontId="27" fillId="3" borderId="9" xfId="0" applyFont="1" applyFill="1" applyBorder="1" applyAlignment="1">
      <alignment horizontal="center" vertical="center" wrapText="1"/>
    </xf>
    <xf numFmtId="0" fontId="27" fillId="6" borderId="9" xfId="0" applyFont="1" applyFill="1" applyBorder="1" applyAlignment="1">
      <alignment horizontal="center" vertical="center" wrapText="1"/>
    </xf>
    <xf numFmtId="0" fontId="27" fillId="15" borderId="9" xfId="0" applyFont="1" applyFill="1" applyBorder="1" applyAlignment="1">
      <alignment horizontal="center" vertical="center" wrapText="1"/>
    </xf>
    <xf numFmtId="0" fontId="27" fillId="12" borderId="9" xfId="0" applyFont="1" applyFill="1" applyBorder="1" applyAlignment="1">
      <alignment horizontal="center" vertical="center" wrapText="1"/>
    </xf>
    <xf numFmtId="0" fontId="27" fillId="21" borderId="9" xfId="0" applyFont="1" applyFill="1" applyBorder="1" applyAlignment="1">
      <alignment horizontal="center" vertical="center" wrapText="1"/>
    </xf>
    <xf numFmtId="0" fontId="27" fillId="22" borderId="9" xfId="0" applyFont="1" applyFill="1" applyBorder="1" applyAlignment="1">
      <alignment horizontal="center" vertical="center" wrapText="1"/>
    </xf>
    <xf numFmtId="0" fontId="28" fillId="23" borderId="9" xfId="0" applyFont="1" applyFill="1" applyBorder="1" applyAlignment="1">
      <alignment horizontal="center" vertical="center" wrapText="1"/>
    </xf>
    <xf numFmtId="0" fontId="28" fillId="0" borderId="9" xfId="0" applyFont="1" applyBorder="1" applyAlignment="1">
      <alignment horizontal="center" vertical="center" wrapText="1"/>
    </xf>
    <xf numFmtId="0" fontId="28" fillId="13" borderId="9" xfId="0" applyFont="1" applyFill="1" applyBorder="1" applyAlignment="1">
      <alignment horizontal="center" vertical="center" wrapText="1"/>
    </xf>
    <xf numFmtId="0" fontId="27" fillId="14" borderId="9" xfId="0" applyFont="1" applyFill="1" applyBorder="1" applyAlignment="1">
      <alignment horizontal="center" vertical="center" wrapText="1"/>
    </xf>
    <xf numFmtId="0" fontId="27" fillId="24" borderId="9" xfId="0" applyFont="1" applyFill="1" applyBorder="1" applyAlignment="1">
      <alignment horizontal="center" vertical="center" wrapText="1"/>
    </xf>
    <xf numFmtId="0" fontId="27" fillId="17" borderId="9" xfId="0" applyFont="1" applyFill="1" applyBorder="1" applyAlignment="1">
      <alignment horizontal="center" vertical="center" wrapText="1"/>
    </xf>
    <xf numFmtId="0" fontId="27" fillId="25" borderId="9" xfId="0" applyFont="1" applyFill="1" applyBorder="1" applyAlignment="1">
      <alignment horizontal="center" vertical="center" wrapText="1"/>
    </xf>
    <xf numFmtId="0" fontId="27" fillId="10" borderId="9" xfId="0" applyFont="1" applyFill="1" applyBorder="1" applyAlignment="1">
      <alignment horizontal="center" vertical="center" wrapText="1"/>
    </xf>
    <xf numFmtId="0" fontId="27" fillId="20" borderId="9" xfId="0" applyFont="1" applyFill="1" applyBorder="1" applyAlignment="1">
      <alignment horizontal="center" vertical="center" wrapText="1"/>
    </xf>
    <xf numFmtId="0" fontId="27" fillId="20" borderId="15" xfId="0" applyFont="1" applyFill="1" applyBorder="1" applyAlignment="1">
      <alignment horizontal="center" vertical="center" wrapText="1"/>
    </xf>
    <xf numFmtId="0" fontId="1" fillId="0" borderId="0" xfId="0" applyFont="1"/>
    <xf numFmtId="0" fontId="1" fillId="0" borderId="0" xfId="0" applyFont="1" applyAlignment="1">
      <alignment horizontal="center" vertical="center" wrapText="1"/>
    </xf>
    <xf numFmtId="0" fontId="1" fillId="20" borderId="12" xfId="0" applyFont="1" applyFill="1" applyBorder="1" applyAlignment="1">
      <alignment horizontal="center" vertical="center" wrapText="1"/>
    </xf>
    <xf numFmtId="164" fontId="1" fillId="20" borderId="5" xfId="0" applyNumberFormat="1" applyFont="1" applyFill="1" applyBorder="1" applyAlignment="1">
      <alignment horizontal="center" vertical="center" wrapText="1"/>
    </xf>
    <xf numFmtId="0" fontId="1" fillId="20" borderId="5" xfId="0" applyFont="1" applyFill="1" applyBorder="1" applyAlignment="1">
      <alignment horizontal="center" vertical="center" wrapText="1"/>
    </xf>
    <xf numFmtId="2" fontId="1" fillId="20" borderId="5" xfId="0" applyNumberFormat="1" applyFont="1" applyFill="1" applyBorder="1" applyAlignment="1">
      <alignment horizontal="center" vertical="center" wrapText="1"/>
    </xf>
    <xf numFmtId="10" fontId="1" fillId="20" borderId="5" xfId="0" applyNumberFormat="1" applyFont="1" applyFill="1" applyBorder="1" applyAlignment="1">
      <alignment horizontal="center" vertical="center" wrapText="1"/>
    </xf>
    <xf numFmtId="1" fontId="1" fillId="20" borderId="5" xfId="0" applyNumberFormat="1" applyFont="1" applyFill="1" applyBorder="1" applyAlignment="1">
      <alignment horizontal="center" vertical="center" wrapText="1"/>
    </xf>
    <xf numFmtId="2" fontId="1" fillId="20" borderId="10" xfId="0" applyNumberFormat="1" applyFont="1" applyFill="1" applyBorder="1" applyAlignment="1">
      <alignment horizontal="center" vertical="center" wrapText="1"/>
    </xf>
    <xf numFmtId="10" fontId="0" fillId="5" borderId="1" xfId="0" applyNumberFormat="1" applyFill="1" applyBorder="1" applyAlignment="1">
      <alignment horizontal="center" vertical="top" wrapText="1"/>
    </xf>
    <xf numFmtId="9" fontId="0" fillId="5" borderId="1" xfId="0" applyNumberFormat="1" applyFill="1" applyBorder="1" applyAlignment="1">
      <alignment horizontal="center" vertical="top" wrapText="1"/>
    </xf>
    <xf numFmtId="10" fontId="8" fillId="5" borderId="1" xfId="0" applyNumberFormat="1" applyFont="1" applyFill="1" applyBorder="1" applyAlignment="1">
      <alignment horizontal="center" vertical="top" wrapText="1"/>
    </xf>
    <xf numFmtId="10" fontId="0" fillId="0" borderId="0" xfId="0" applyNumberFormat="1" applyAlignment="1">
      <alignment horizontal="center" vertical="top" wrapText="1"/>
    </xf>
    <xf numFmtId="0" fontId="0" fillId="0" borderId="0" xfId="0" applyAlignment="1">
      <alignment horizontal="left"/>
    </xf>
    <xf numFmtId="0" fontId="0" fillId="28" borderId="1" xfId="0" applyFill="1" applyBorder="1" applyAlignment="1">
      <alignment horizontal="center" vertical="center"/>
    </xf>
    <xf numFmtId="165" fontId="0" fillId="28" borderId="1" xfId="0" applyNumberFormat="1" applyFill="1" applyBorder="1" applyAlignment="1">
      <alignment horizontal="right" vertical="center"/>
    </xf>
    <xf numFmtId="0" fontId="0" fillId="28" borderId="1" xfId="0" applyFill="1" applyBorder="1" applyAlignment="1">
      <alignment horizontal="right" vertical="center"/>
    </xf>
    <xf numFmtId="165" fontId="0" fillId="28" borderId="1" xfId="0" applyNumberFormat="1" applyFill="1" applyBorder="1" applyAlignment="1">
      <alignment horizontal="left" vertical="center"/>
    </xf>
    <xf numFmtId="0" fontId="4" fillId="29" borderId="1" xfId="0" applyFont="1" applyFill="1" applyBorder="1" applyAlignment="1">
      <alignment horizontal="center" vertical="center"/>
    </xf>
    <xf numFmtId="0" fontId="0" fillId="28" borderId="1" xfId="0" applyFill="1" applyBorder="1" applyAlignment="1">
      <alignment vertical="center"/>
    </xf>
    <xf numFmtId="165" fontId="0" fillId="28" borderId="1" xfId="0" applyNumberFormat="1" applyFill="1" applyBorder="1" applyAlignment="1">
      <alignment vertical="center"/>
    </xf>
    <xf numFmtId="0" fontId="0" fillId="28" borderId="1" xfId="0" applyFill="1" applyBorder="1" applyAlignment="1">
      <alignment horizontal="left" vertical="center"/>
    </xf>
    <xf numFmtId="10" fontId="8" fillId="28" borderId="1" xfId="0" applyNumberFormat="1" applyFont="1" applyFill="1" applyBorder="1" applyAlignment="1">
      <alignment vertical="center"/>
    </xf>
    <xf numFmtId="10" fontId="8" fillId="28" borderId="1" xfId="0" applyNumberFormat="1" applyFont="1" applyFill="1" applyBorder="1" applyAlignment="1">
      <alignment horizontal="left" vertical="center"/>
    </xf>
    <xf numFmtId="165" fontId="29" fillId="28" borderId="1" xfId="0" applyNumberFormat="1" applyFont="1" applyFill="1" applyBorder="1" applyAlignment="1">
      <alignment vertical="center"/>
    </xf>
    <xf numFmtId="165" fontId="29" fillId="28" borderId="1" xfId="0" applyNumberFormat="1" applyFont="1" applyFill="1" applyBorder="1" applyAlignment="1">
      <alignment horizontal="left" vertical="center"/>
    </xf>
    <xf numFmtId="1" fontId="0" fillId="28" borderId="1" xfId="0" applyNumberFormat="1" applyFill="1" applyBorder="1" applyAlignment="1">
      <alignment vertical="center"/>
    </xf>
    <xf numFmtId="1" fontId="0" fillId="28" borderId="1" xfId="0" applyNumberFormat="1" applyFill="1" applyBorder="1" applyAlignment="1">
      <alignment horizontal="left" vertical="center"/>
    </xf>
    <xf numFmtId="3" fontId="0" fillId="28" borderId="1" xfId="0" applyNumberFormat="1" applyFill="1" applyBorder="1" applyAlignment="1">
      <alignment vertical="center"/>
    </xf>
    <xf numFmtId="4" fontId="0" fillId="28" borderId="1" xfId="0" applyNumberFormat="1" applyFill="1" applyBorder="1" applyAlignment="1">
      <alignment horizontal="right" vertical="center"/>
    </xf>
    <xf numFmtId="3" fontId="0" fillId="28" borderId="1" xfId="0" applyNumberFormat="1" applyFill="1" applyBorder="1" applyAlignment="1">
      <alignment horizontal="left" vertical="center"/>
    </xf>
    <xf numFmtId="3" fontId="0" fillId="28" borderId="1" xfId="0" applyNumberFormat="1" applyFill="1" applyBorder="1" applyAlignment="1">
      <alignment horizontal="right" vertical="center"/>
    </xf>
    <xf numFmtId="0" fontId="8" fillId="5" borderId="1" xfId="0" applyFont="1" applyFill="1" applyBorder="1" applyAlignment="1">
      <alignment vertical="top" wrapText="1"/>
    </xf>
    <xf numFmtId="0" fontId="8" fillId="5" borderId="1" xfId="0" applyFont="1" applyFill="1" applyBorder="1" applyAlignment="1">
      <alignment horizontal="center" vertical="top" wrapText="1"/>
    </xf>
    <xf numFmtId="0" fontId="12" fillId="5" borderId="1" xfId="0" applyFont="1" applyFill="1" applyBorder="1" applyAlignment="1">
      <alignment horizontal="center" vertical="center"/>
    </xf>
    <xf numFmtId="10" fontId="25" fillId="4" borderId="1" xfId="0" applyNumberFormat="1" applyFont="1" applyFill="1" applyBorder="1" applyAlignment="1">
      <alignment horizontal="center" vertical="top"/>
    </xf>
    <xf numFmtId="1" fontId="25" fillId="4" borderId="1" xfId="0" applyNumberFormat="1" applyFont="1" applyFill="1" applyBorder="1" applyAlignment="1">
      <alignment horizontal="center" vertical="top"/>
    </xf>
    <xf numFmtId="10" fontId="25" fillId="0" borderId="1" xfId="0" applyNumberFormat="1" applyFont="1" applyBorder="1" applyAlignment="1">
      <alignment horizontal="center" vertical="center" wrapText="1"/>
    </xf>
    <xf numFmtId="1" fontId="25" fillId="0" borderId="1" xfId="0" applyNumberFormat="1" applyFont="1" applyBorder="1" applyAlignment="1">
      <alignment horizontal="center" vertical="center" wrapText="1"/>
    </xf>
    <xf numFmtId="2" fontId="25" fillId="4" borderId="1" xfId="0" applyNumberFormat="1" applyFont="1" applyFill="1" applyBorder="1" applyAlignment="1">
      <alignment horizontal="center"/>
    </xf>
    <xf numFmtId="10" fontId="25" fillId="4" borderId="8" xfId="0" applyNumberFormat="1" applyFont="1" applyFill="1" applyBorder="1" applyAlignment="1">
      <alignment horizontal="center" vertical="center"/>
    </xf>
    <xf numFmtId="2" fontId="25" fillId="4" borderId="8" xfId="0" applyNumberFormat="1" applyFont="1" applyFill="1" applyBorder="1" applyAlignment="1">
      <alignment horizontal="center" vertical="center"/>
    </xf>
    <xf numFmtId="164" fontId="25" fillId="0" borderId="1" xfId="0" applyNumberFormat="1" applyFont="1" applyBorder="1" applyAlignment="1">
      <alignment horizontal="center" vertical="center"/>
    </xf>
    <xf numFmtId="164" fontId="25" fillId="0" borderId="4" xfId="0" applyNumberFormat="1" applyFont="1" applyBorder="1" applyAlignment="1">
      <alignment horizontal="center"/>
    </xf>
    <xf numFmtId="0" fontId="28" fillId="0" borderId="0" xfId="0" applyFont="1" applyAlignment="1">
      <alignment horizontal="center" vertical="center" wrapText="1"/>
    </xf>
    <xf numFmtId="0" fontId="28" fillId="0" borderId="0" xfId="0" applyFont="1" applyAlignment="1">
      <alignment vertical="center" wrapText="1"/>
    </xf>
    <xf numFmtId="0" fontId="0" fillId="0" borderId="0" xfId="0" applyAlignment="1">
      <alignment wrapText="1"/>
    </xf>
    <xf numFmtId="0" fontId="28" fillId="0" borderId="0" xfId="0" applyFont="1" applyAlignment="1">
      <alignment horizontal="left" vertical="top" wrapText="1"/>
    </xf>
    <xf numFmtId="0" fontId="32" fillId="4" borderId="0" xfId="0" applyFont="1" applyFill="1" applyAlignment="1">
      <alignment vertical="center"/>
    </xf>
    <xf numFmtId="0" fontId="2" fillId="4" borderId="0" xfId="0" applyFont="1" applyFill="1" applyAlignment="1">
      <alignment horizontal="center" vertical="center"/>
    </xf>
    <xf numFmtId="0" fontId="34" fillId="4" borderId="0" xfId="0" applyFont="1" applyFill="1" applyAlignment="1">
      <alignment vertical="center" wrapText="1"/>
    </xf>
    <xf numFmtId="0" fontId="28" fillId="0" borderId="0" xfId="0" applyFont="1" applyAlignment="1">
      <alignment vertical="top" wrapText="1"/>
    </xf>
    <xf numFmtId="0" fontId="36" fillId="18" borderId="1" xfId="0" applyFont="1" applyFill="1" applyBorder="1" applyAlignment="1">
      <alignment horizontal="center" vertical="center"/>
    </xf>
    <xf numFmtId="0" fontId="38" fillId="4" borderId="0" xfId="0" applyFont="1" applyFill="1" applyAlignment="1">
      <alignment horizontal="center" vertical="center"/>
    </xf>
    <xf numFmtId="0" fontId="39" fillId="0" borderId="0" xfId="0" applyFont="1"/>
    <xf numFmtId="0" fontId="36" fillId="18" borderId="1" xfId="0" applyFont="1" applyFill="1" applyBorder="1" applyAlignment="1">
      <alignment horizontal="center" vertical="center" wrapText="1"/>
    </xf>
    <xf numFmtId="0" fontId="36" fillId="18" borderId="0" xfId="0" applyFont="1" applyFill="1" applyAlignment="1">
      <alignment horizontal="center" vertical="center" wrapText="1"/>
    </xf>
    <xf numFmtId="0" fontId="30" fillId="30" borderId="1" xfId="0" applyFont="1" applyFill="1" applyBorder="1" applyAlignment="1">
      <alignment horizontal="center" vertical="center" wrapText="1"/>
    </xf>
    <xf numFmtId="0" fontId="30" fillId="30" borderId="4" xfId="0" applyFont="1" applyFill="1" applyBorder="1" applyAlignment="1">
      <alignment horizontal="center" vertical="center" wrapText="1"/>
    </xf>
    <xf numFmtId="0" fontId="30" fillId="30" borderId="1" xfId="0" applyFont="1" applyFill="1" applyBorder="1" applyAlignment="1">
      <alignment horizontal="center" vertical="center"/>
    </xf>
    <xf numFmtId="0" fontId="36" fillId="20" borderId="1" xfId="0" applyFont="1" applyFill="1" applyBorder="1" applyAlignment="1">
      <alignment horizontal="center" vertical="center"/>
    </xf>
    <xf numFmtId="0" fontId="36" fillId="20" borderId="1" xfId="0" applyFont="1" applyFill="1" applyBorder="1" applyAlignment="1">
      <alignment horizontal="center" vertical="center" wrapText="1"/>
    </xf>
    <xf numFmtId="0" fontId="30" fillId="31" borderId="1" xfId="0" applyFont="1" applyFill="1" applyBorder="1" applyAlignment="1">
      <alignment horizontal="center" vertical="center" wrapText="1"/>
    </xf>
    <xf numFmtId="0" fontId="30" fillId="31" borderId="1" xfId="0" applyFont="1" applyFill="1" applyBorder="1" applyAlignment="1">
      <alignment horizontal="center" vertical="center"/>
    </xf>
    <xf numFmtId="0" fontId="33" fillId="33" borderId="1" xfId="0" applyFont="1" applyFill="1" applyBorder="1" applyAlignment="1">
      <alignment horizontal="center" vertical="center" wrapText="1"/>
    </xf>
    <xf numFmtId="0" fontId="44" fillId="33" borderId="1" xfId="0" applyFont="1" applyFill="1" applyBorder="1" applyAlignment="1">
      <alignment horizontal="center" vertical="center" wrapText="1"/>
    </xf>
    <xf numFmtId="0" fontId="45" fillId="33" borderId="1" xfId="0" applyFont="1" applyFill="1" applyBorder="1" applyAlignment="1">
      <alignment horizontal="center" vertical="center" wrapText="1"/>
    </xf>
    <xf numFmtId="0" fontId="1" fillId="0" borderId="0" xfId="0" applyFont="1" applyAlignment="1">
      <alignment vertical="center"/>
    </xf>
    <xf numFmtId="0" fontId="33" fillId="33" borderId="1" xfId="0" applyFont="1" applyFill="1" applyBorder="1" applyAlignment="1">
      <alignment horizontal="center" vertical="center"/>
    </xf>
    <xf numFmtId="0" fontId="46" fillId="33" borderId="1" xfId="0" applyFont="1" applyFill="1" applyBorder="1" applyAlignment="1">
      <alignment horizontal="center" vertical="center" wrapText="1"/>
    </xf>
    <xf numFmtId="0" fontId="47" fillId="33" borderId="1" xfId="0" applyFont="1" applyFill="1" applyBorder="1" applyAlignment="1">
      <alignment horizontal="center" vertical="center" wrapText="1"/>
    </xf>
    <xf numFmtId="2" fontId="26" fillId="0" borderId="1" xfId="0" applyNumberFormat="1" applyFont="1" applyBorder="1" applyAlignment="1">
      <alignment horizontal="center" vertical="center"/>
    </xf>
    <xf numFmtId="1" fontId="25" fillId="0" borderId="1" xfId="0" applyNumberFormat="1" applyFont="1" applyBorder="1" applyAlignment="1">
      <alignment horizontal="center" vertical="center"/>
    </xf>
    <xf numFmtId="1" fontId="0" fillId="4" borderId="0" xfId="0" applyNumberFormat="1" applyFill="1" applyAlignment="1">
      <alignment horizontal="center"/>
    </xf>
    <xf numFmtId="2" fontId="37" fillId="0" borderId="5" xfId="0" applyNumberFormat="1" applyFont="1" applyBorder="1" applyAlignment="1">
      <alignment horizontal="center" vertical="center"/>
    </xf>
    <xf numFmtId="2" fontId="37" fillId="0" borderId="1" xfId="0" applyNumberFormat="1" applyFont="1" applyBorder="1" applyAlignment="1">
      <alignment horizontal="center" vertical="center"/>
    </xf>
    <xf numFmtId="0" fontId="34" fillId="34" borderId="0" xfId="0" applyFont="1" applyFill="1" applyAlignment="1">
      <alignment horizontal="center" vertical="center"/>
    </xf>
    <xf numFmtId="0" fontId="48" fillId="35" borderId="1" xfId="0" applyFont="1" applyFill="1" applyBorder="1" applyAlignment="1">
      <alignment horizontal="center" vertical="center" wrapText="1"/>
    </xf>
    <xf numFmtId="10" fontId="49" fillId="35" borderId="1" xfId="0" applyNumberFormat="1" applyFont="1" applyFill="1" applyBorder="1" applyAlignment="1">
      <alignment horizontal="center" vertical="center"/>
    </xf>
    <xf numFmtId="10" fontId="51" fillId="35" borderId="1" xfId="0" applyNumberFormat="1" applyFont="1" applyFill="1" applyBorder="1" applyAlignment="1">
      <alignment horizontal="center" vertical="center"/>
    </xf>
    <xf numFmtId="0" fontId="34" fillId="34" borderId="0" xfId="0" applyFont="1" applyFill="1" applyAlignment="1">
      <alignment horizontal="center" vertical="center" wrapText="1"/>
    </xf>
    <xf numFmtId="164" fontId="50" fillId="35" borderId="1" xfId="0" applyNumberFormat="1" applyFont="1" applyFill="1" applyBorder="1" applyAlignment="1">
      <alignment horizontal="center" vertical="center"/>
    </xf>
    <xf numFmtId="0" fontId="3" fillId="4" borderId="0" xfId="0" applyFont="1" applyFill="1" applyAlignment="1">
      <alignment horizontal="center" vertical="center" wrapText="1"/>
    </xf>
    <xf numFmtId="0" fontId="0" fillId="26" borderId="1" xfId="0" applyFill="1" applyBorder="1" applyAlignment="1">
      <alignment vertical="center"/>
    </xf>
    <xf numFmtId="165" fontId="0" fillId="26" borderId="1" xfId="0" applyNumberFormat="1" applyFill="1" applyBorder="1" applyAlignment="1">
      <alignment vertical="center"/>
    </xf>
    <xf numFmtId="3" fontId="0" fillId="26" borderId="1" xfId="0" applyNumberFormat="1" applyFill="1" applyBorder="1" applyAlignment="1">
      <alignment vertical="center"/>
    </xf>
    <xf numFmtId="10" fontId="8" fillId="26" borderId="1" xfId="0" applyNumberFormat="1" applyFont="1" applyFill="1" applyBorder="1" applyAlignment="1">
      <alignment vertical="center"/>
    </xf>
    <xf numFmtId="165" fontId="29" fillId="26" borderId="1" xfId="0" applyNumberFormat="1" applyFont="1" applyFill="1" applyBorder="1" applyAlignment="1">
      <alignment vertical="center"/>
    </xf>
    <xf numFmtId="165" fontId="0" fillId="26" borderId="1" xfId="0" applyNumberFormat="1" applyFill="1" applyBorder="1" applyAlignment="1">
      <alignment horizontal="right" vertical="center"/>
    </xf>
    <xf numFmtId="0" fontId="0" fillId="4" borderId="0" xfId="0" applyFill="1" applyAlignment="1">
      <alignment horizontal="center"/>
    </xf>
    <xf numFmtId="164" fontId="8" fillId="26" borderId="1" xfId="0" applyNumberFormat="1" applyFont="1" applyFill="1" applyBorder="1" applyAlignment="1">
      <alignment vertical="center"/>
    </xf>
    <xf numFmtId="10" fontId="8" fillId="28" borderId="1" xfId="0" applyNumberFormat="1" applyFont="1" applyFill="1" applyBorder="1" applyAlignment="1">
      <alignment horizontal="right" vertical="center"/>
    </xf>
    <xf numFmtId="165" fontId="29" fillId="28" borderId="1" xfId="0" applyNumberFormat="1" applyFont="1" applyFill="1" applyBorder="1" applyAlignment="1">
      <alignment horizontal="right" vertical="center"/>
    </xf>
    <xf numFmtId="0" fontId="0" fillId="4" borderId="6" xfId="0" applyFill="1" applyBorder="1" applyAlignment="1">
      <alignment vertical="center"/>
    </xf>
    <xf numFmtId="0" fontId="0" fillId="26" borderId="1" xfId="0" applyFill="1" applyBorder="1" applyAlignment="1">
      <alignment horizontal="left" vertical="center"/>
    </xf>
    <xf numFmtId="0" fontId="1" fillId="4" borderId="0" xfId="0" applyFont="1" applyFill="1" applyAlignment="1">
      <alignment horizontal="center" vertical="center" wrapText="1"/>
    </xf>
    <xf numFmtId="0" fontId="33" fillId="35" borderId="1" xfId="0" applyFont="1" applyFill="1" applyBorder="1" applyAlignment="1">
      <alignment horizontal="center" vertical="center"/>
    </xf>
    <xf numFmtId="0" fontId="48" fillId="35" borderId="1" xfId="0" applyFont="1" applyFill="1" applyBorder="1" applyAlignment="1">
      <alignment horizontal="center" vertical="center"/>
    </xf>
    <xf numFmtId="0" fontId="44" fillId="35" borderId="1" xfId="0" applyFont="1" applyFill="1" applyBorder="1" applyAlignment="1">
      <alignment horizontal="center" vertical="center"/>
    </xf>
    <xf numFmtId="0" fontId="50" fillId="35" borderId="1" xfId="0" applyFont="1" applyFill="1" applyBorder="1" applyAlignment="1">
      <alignment horizontal="center" vertical="center"/>
    </xf>
    <xf numFmtId="0" fontId="41" fillId="0" borderId="0" xfId="0" applyFont="1" applyAlignment="1">
      <alignment vertical="top" wrapText="1"/>
    </xf>
    <xf numFmtId="0" fontId="40" fillId="0" borderId="0" xfId="0" applyFont="1" applyAlignment="1">
      <alignment horizontal="left" vertical="top" wrapText="1"/>
    </xf>
    <xf numFmtId="0" fontId="40" fillId="0" borderId="11" xfId="0" applyFont="1" applyBorder="1" applyAlignment="1">
      <alignment horizontal="left" vertical="top" wrapText="1"/>
    </xf>
    <xf numFmtId="0" fontId="36" fillId="38" borderId="1" xfId="0" applyFont="1" applyFill="1" applyBorder="1" applyAlignment="1">
      <alignment horizontal="center" vertical="center" wrapText="1"/>
    </xf>
    <xf numFmtId="0" fontId="27" fillId="38" borderId="1" xfId="0" applyFont="1" applyFill="1" applyBorder="1" applyAlignment="1">
      <alignment horizontal="center" vertical="center"/>
    </xf>
    <xf numFmtId="0" fontId="27" fillId="38" borderId="1" xfId="0" applyFont="1" applyFill="1" applyBorder="1" applyAlignment="1">
      <alignment horizontal="center" vertical="center" wrapText="1"/>
    </xf>
    <xf numFmtId="0" fontId="30" fillId="5" borderId="1" xfId="0" applyFont="1" applyFill="1" applyBorder="1" applyAlignment="1">
      <alignment horizontal="center" vertical="center" wrapText="1"/>
    </xf>
    <xf numFmtId="0" fontId="30" fillId="5" borderId="1" xfId="0" applyFont="1" applyFill="1" applyBorder="1" applyAlignment="1">
      <alignment horizontal="center" vertical="center"/>
    </xf>
    <xf numFmtId="0" fontId="43" fillId="5" borderId="1" xfId="0" applyFont="1" applyFill="1" applyBorder="1" applyAlignment="1">
      <alignment horizontal="center" vertical="center" wrapText="1"/>
    </xf>
    <xf numFmtId="0" fontId="58" fillId="35" borderId="1" xfId="0" applyFont="1" applyFill="1" applyBorder="1" applyAlignment="1">
      <alignment horizontal="center" vertical="center" wrapText="1"/>
    </xf>
    <xf numFmtId="0" fontId="40" fillId="0" borderId="0" xfId="0" applyFont="1" applyAlignment="1">
      <alignment vertical="top" wrapText="1"/>
    </xf>
    <xf numFmtId="0" fontId="22" fillId="5" borderId="1" xfId="0" applyFont="1" applyFill="1" applyBorder="1" applyAlignment="1">
      <alignment horizontal="center" vertical="center" wrapText="1"/>
    </xf>
    <xf numFmtId="0" fontId="0" fillId="5" borderId="1" xfId="0" applyFill="1" applyBorder="1" applyAlignment="1">
      <alignment vertical="center" wrapText="1"/>
    </xf>
    <xf numFmtId="0" fontId="0" fillId="0" borderId="1" xfId="0" applyBorder="1" applyAlignment="1">
      <alignment horizontal="center" vertical="center"/>
    </xf>
    <xf numFmtId="0" fontId="2" fillId="2" borderId="1" xfId="0" applyFont="1" applyFill="1" applyBorder="1" applyAlignment="1">
      <alignment horizontal="center" vertical="center" wrapText="1"/>
    </xf>
    <xf numFmtId="0" fontId="2" fillId="2" borderId="1" xfId="0" applyFont="1" applyFill="1" applyBorder="1" applyAlignment="1">
      <alignment vertical="center"/>
    </xf>
    <xf numFmtId="10" fontId="2" fillId="2" borderId="1" xfId="0" applyNumberFormat="1" applyFont="1" applyFill="1" applyBorder="1" applyAlignment="1">
      <alignment horizontal="center" vertical="center" wrapText="1"/>
    </xf>
    <xf numFmtId="10" fontId="0" fillId="0" borderId="0" xfId="0" applyNumberFormat="1" applyAlignment="1">
      <alignment horizontal="center" vertical="center" wrapText="1"/>
    </xf>
    <xf numFmtId="0" fontId="4" fillId="2" borderId="0" xfId="0" applyFont="1" applyFill="1" applyAlignment="1">
      <alignment horizontal="center" vertical="center"/>
    </xf>
    <xf numFmtId="0" fontId="2" fillId="2" borderId="0" xfId="0" applyFont="1" applyFill="1" applyAlignment="1">
      <alignment horizontal="center" vertical="center"/>
    </xf>
    <xf numFmtId="10" fontId="2" fillId="2" borderId="0" xfId="0" applyNumberFormat="1" applyFont="1" applyFill="1" applyAlignment="1">
      <alignment horizontal="center" vertical="center" wrapText="1"/>
    </xf>
    <xf numFmtId="10" fontId="0" fillId="39" borderId="1" xfId="0" applyNumberFormat="1" applyFill="1" applyBorder="1" applyAlignment="1">
      <alignment horizontal="center" vertical="center" wrapText="1"/>
    </xf>
    <xf numFmtId="0" fontId="0" fillId="0" borderId="0" xfId="0" applyAlignment="1">
      <alignment horizontal="left" vertical="top"/>
    </xf>
    <xf numFmtId="10" fontId="2" fillId="2" borderId="4" xfId="0" applyNumberFormat="1" applyFont="1" applyFill="1" applyBorder="1" applyAlignment="1">
      <alignment horizontal="left" vertical="top" wrapText="1"/>
    </xf>
    <xf numFmtId="10" fontId="0" fillId="5" borderId="7" xfId="0" applyNumberFormat="1" applyFill="1" applyBorder="1" applyAlignment="1">
      <alignment horizontal="center" vertical="center" wrapText="1"/>
    </xf>
    <xf numFmtId="10" fontId="0" fillId="39" borderId="7" xfId="0" applyNumberFormat="1" applyFill="1" applyBorder="1" applyAlignment="1">
      <alignment horizontal="center" vertical="center" wrapText="1"/>
    </xf>
    <xf numFmtId="10" fontId="0" fillId="5" borderId="0" xfId="0" applyNumberFormat="1" applyFill="1" applyAlignment="1">
      <alignment horizontal="center" vertical="center" wrapText="1"/>
    </xf>
    <xf numFmtId="0" fontId="14" fillId="5" borderId="1" xfId="0" applyFont="1" applyFill="1" applyBorder="1" applyAlignment="1">
      <alignment horizontal="center" vertical="center" wrapText="1"/>
    </xf>
    <xf numFmtId="10" fontId="0" fillId="5" borderId="7" xfId="0" applyNumberFormat="1" applyFill="1" applyBorder="1" applyAlignment="1">
      <alignment horizontal="center" vertical="center" wrapText="1"/>
    </xf>
    <xf numFmtId="10" fontId="0" fillId="5" borderId="8" xfId="0" applyNumberFormat="1" applyFill="1" applyBorder="1" applyAlignment="1">
      <alignment horizontal="center" vertical="center" wrapText="1"/>
    </xf>
    <xf numFmtId="10" fontId="0" fillId="5" borderId="9" xfId="0" applyNumberFormat="1" applyFill="1" applyBorder="1" applyAlignment="1">
      <alignment horizontal="center" vertical="center" wrapText="1"/>
    </xf>
    <xf numFmtId="10" fontId="14" fillId="9" borderId="1" xfId="0" applyNumberFormat="1" applyFont="1" applyFill="1" applyBorder="1" applyAlignment="1">
      <alignment horizontal="center" vertical="center" wrapText="1"/>
    </xf>
    <xf numFmtId="10" fontId="0" fillId="5" borderId="1" xfId="0" applyNumberFormat="1" applyFill="1" applyBorder="1" applyAlignment="1">
      <alignment horizontal="center" vertical="center" wrapText="1"/>
    </xf>
    <xf numFmtId="164" fontId="24" fillId="5" borderId="1" xfId="0" applyNumberFormat="1" applyFont="1" applyFill="1" applyBorder="1" applyAlignment="1">
      <alignment horizontal="center" vertical="center" wrapText="1"/>
    </xf>
    <xf numFmtId="10" fontId="3" fillId="5" borderId="1" xfId="0" applyNumberFormat="1" applyFont="1" applyFill="1" applyBorder="1" applyAlignment="1">
      <alignment horizontal="center" vertical="center" wrapText="1"/>
    </xf>
    <xf numFmtId="0" fontId="0" fillId="5" borderId="1" xfId="0" applyFill="1" applyBorder="1" applyAlignment="1">
      <alignment horizontal="center" vertical="center" wrapText="1"/>
    </xf>
    <xf numFmtId="0" fontId="21" fillId="5" borderId="1" xfId="1" applyFont="1" applyFill="1" applyBorder="1" applyAlignment="1">
      <alignment horizontal="center" vertical="center"/>
    </xf>
    <xf numFmtId="0" fontId="11" fillId="5" borderId="1" xfId="0" applyFont="1" applyFill="1" applyBorder="1" applyAlignment="1">
      <alignment horizontal="center" vertical="center" wrapText="1"/>
    </xf>
    <xf numFmtId="0" fontId="8" fillId="5" borderId="1" xfId="0" applyFont="1" applyFill="1" applyBorder="1" applyAlignment="1">
      <alignment horizontal="center" vertical="center" wrapText="1"/>
    </xf>
    <xf numFmtId="164" fontId="8" fillId="5" borderId="1" xfId="0" applyNumberFormat="1" applyFont="1" applyFill="1" applyBorder="1" applyAlignment="1">
      <alignment horizontal="center" vertical="center"/>
    </xf>
    <xf numFmtId="0" fontId="14" fillId="9" borderId="1" xfId="0" applyFont="1" applyFill="1" applyBorder="1" applyAlignment="1">
      <alignment horizontal="center" vertical="center" wrapText="1"/>
    </xf>
    <xf numFmtId="0" fontId="3" fillId="5" borderId="1" xfId="0" applyFont="1" applyFill="1" applyBorder="1" applyAlignment="1">
      <alignment horizontal="center" vertical="center" wrapText="1"/>
    </xf>
    <xf numFmtId="0" fontId="10" fillId="5" borderId="1" xfId="0" applyFont="1" applyFill="1" applyBorder="1" applyAlignment="1">
      <alignment horizontal="center" vertical="center" wrapText="1"/>
    </xf>
    <xf numFmtId="0" fontId="23" fillId="5" borderId="1" xfId="0" applyFont="1" applyFill="1" applyBorder="1" applyAlignment="1">
      <alignment horizontal="center" vertical="center" wrapText="1"/>
    </xf>
    <xf numFmtId="10" fontId="0" fillId="5" borderId="1" xfId="0" applyNumberFormat="1" applyFill="1" applyBorder="1" applyAlignment="1">
      <alignment horizontal="center" vertical="center"/>
    </xf>
    <xf numFmtId="0" fontId="0" fillId="5" borderId="1" xfId="0" applyFill="1" applyBorder="1" applyAlignment="1">
      <alignment horizontal="center" vertical="center"/>
    </xf>
    <xf numFmtId="0" fontId="12" fillId="5" borderId="1" xfId="0" applyFont="1" applyFill="1" applyBorder="1" applyAlignment="1">
      <alignment horizontal="center" vertical="center" wrapText="1"/>
    </xf>
    <xf numFmtId="10" fontId="8" fillId="5" borderId="1" xfId="0" applyNumberFormat="1" applyFont="1" applyFill="1" applyBorder="1" applyAlignment="1">
      <alignment horizontal="center" vertical="center"/>
    </xf>
    <xf numFmtId="10" fontId="0" fillId="5" borderId="7" xfId="0" applyNumberFormat="1" applyFill="1" applyBorder="1" applyAlignment="1">
      <alignment horizontal="center" vertical="center"/>
    </xf>
    <xf numFmtId="10" fontId="0" fillId="5" borderId="8" xfId="0" applyNumberFormat="1" applyFill="1" applyBorder="1" applyAlignment="1">
      <alignment horizontal="center" vertical="center"/>
    </xf>
    <xf numFmtId="10" fontId="0" fillId="5" borderId="9" xfId="0" applyNumberFormat="1" applyFill="1" applyBorder="1" applyAlignment="1">
      <alignment horizontal="center" vertical="center"/>
    </xf>
    <xf numFmtId="0" fontId="15" fillId="5" borderId="1" xfId="0" applyFont="1" applyFill="1" applyBorder="1" applyAlignment="1">
      <alignment horizontal="center" vertical="center"/>
    </xf>
    <xf numFmtId="0" fontId="8" fillId="5" borderId="1" xfId="0" applyFont="1" applyFill="1" applyBorder="1" applyAlignment="1">
      <alignment horizontal="center" vertical="center"/>
    </xf>
    <xf numFmtId="0" fontId="0" fillId="13" borderId="1" xfId="0" applyFill="1" applyBorder="1" applyAlignment="1">
      <alignment horizontal="center"/>
    </xf>
    <xf numFmtId="0" fontId="1" fillId="13" borderId="1" xfId="0" applyFont="1" applyFill="1" applyBorder="1" applyAlignment="1">
      <alignment horizontal="center" vertical="center" wrapText="1"/>
    </xf>
    <xf numFmtId="0" fontId="15" fillId="5" borderId="1" xfId="0" applyFont="1" applyFill="1" applyBorder="1" applyAlignment="1">
      <alignment horizontal="left" vertical="center"/>
    </xf>
    <xf numFmtId="0" fontId="0" fillId="5" borderId="1" xfId="1" applyFont="1" applyFill="1" applyBorder="1" applyAlignment="1">
      <alignment horizontal="center" vertical="center"/>
    </xf>
    <xf numFmtId="0" fontId="5" fillId="5" borderId="1" xfId="1" applyFill="1" applyBorder="1" applyAlignment="1">
      <alignment horizontal="center" vertical="center"/>
    </xf>
    <xf numFmtId="0" fontId="15" fillId="5" borderId="1" xfId="0" applyFont="1" applyFill="1" applyBorder="1" applyAlignment="1">
      <alignment horizontal="center" vertical="center" wrapText="1"/>
    </xf>
    <xf numFmtId="0" fontId="0" fillId="5" borderId="7" xfId="0" applyFill="1" applyBorder="1" applyAlignment="1">
      <alignment horizontal="center" vertical="center" wrapText="1"/>
    </xf>
    <xf numFmtId="0" fontId="0" fillId="5" borderId="8" xfId="0" applyFill="1" applyBorder="1" applyAlignment="1">
      <alignment horizontal="center" vertical="center" wrapText="1"/>
    </xf>
    <xf numFmtId="0" fontId="0" fillId="5" borderId="9" xfId="0" applyFill="1" applyBorder="1" applyAlignment="1">
      <alignment horizontal="center" vertical="center" wrapText="1"/>
    </xf>
    <xf numFmtId="0" fontId="16" fillId="5" borderId="1" xfId="0" applyFont="1" applyFill="1" applyBorder="1" applyAlignment="1">
      <alignment horizontal="left" vertical="top" wrapText="1"/>
    </xf>
    <xf numFmtId="164" fontId="8" fillId="5" borderId="1" xfId="0" applyNumberFormat="1" applyFont="1" applyFill="1" applyBorder="1" applyAlignment="1">
      <alignment horizontal="center" vertical="center" wrapText="1"/>
    </xf>
    <xf numFmtId="0" fontId="0" fillId="4" borderId="1" xfId="0" applyFill="1" applyBorder="1" applyAlignment="1">
      <alignment horizontal="center"/>
    </xf>
    <xf numFmtId="0" fontId="1" fillId="4" borderId="1" xfId="0" applyFont="1" applyFill="1" applyBorder="1" applyAlignment="1">
      <alignment horizontal="center" vertical="center"/>
    </xf>
    <xf numFmtId="0" fontId="8" fillId="9" borderId="1" xfId="0" applyFont="1" applyFill="1" applyBorder="1" applyAlignment="1">
      <alignment horizontal="center" vertical="center" wrapText="1"/>
    </xf>
    <xf numFmtId="10" fontId="8" fillId="5" borderId="1" xfId="0" applyNumberFormat="1" applyFont="1" applyFill="1" applyBorder="1" applyAlignment="1">
      <alignment horizontal="center" vertical="center" wrapText="1"/>
    </xf>
    <xf numFmtId="0" fontId="2" fillId="12" borderId="1" xfId="0" applyFont="1" applyFill="1" applyBorder="1" applyAlignment="1">
      <alignment horizontal="center" vertical="center"/>
    </xf>
    <xf numFmtId="0" fontId="18" fillId="2" borderId="1" xfId="0" applyFont="1" applyFill="1" applyBorder="1" applyAlignment="1">
      <alignment horizontal="left" vertical="center" wrapText="1"/>
    </xf>
    <xf numFmtId="164" fontId="0" fillId="5" borderId="1" xfId="0" applyNumberFormat="1" applyFill="1" applyBorder="1" applyAlignment="1">
      <alignment horizontal="center" vertical="center"/>
    </xf>
    <xf numFmtId="0" fontId="0" fillId="8" borderId="1" xfId="0" applyFill="1" applyBorder="1" applyAlignment="1">
      <alignment horizontal="center"/>
    </xf>
    <xf numFmtId="0" fontId="0" fillId="14" borderId="1" xfId="0" applyFill="1" applyBorder="1" applyAlignment="1">
      <alignment horizontal="center"/>
    </xf>
    <xf numFmtId="0" fontId="11" fillId="5" borderId="1" xfId="0" applyFont="1" applyFill="1" applyBorder="1" applyAlignment="1">
      <alignment horizontal="center" vertical="center"/>
    </xf>
    <xf numFmtId="0" fontId="2" fillId="2" borderId="1" xfId="0" applyFont="1" applyFill="1" applyBorder="1" applyAlignment="1">
      <alignment horizontal="center" vertical="center"/>
    </xf>
    <xf numFmtId="164" fontId="2" fillId="2" borderId="1" xfId="0" applyNumberFormat="1" applyFont="1" applyFill="1" applyBorder="1" applyAlignment="1">
      <alignment horizontal="center" vertical="center" wrapText="1"/>
    </xf>
    <xf numFmtId="0" fontId="2" fillId="2" borderId="1" xfId="0" applyFont="1" applyFill="1" applyBorder="1" applyAlignment="1">
      <alignment horizontal="center" vertical="center" wrapText="1"/>
    </xf>
    <xf numFmtId="9" fontId="0" fillId="5" borderId="1" xfId="0" applyNumberFormat="1" applyFill="1" applyBorder="1" applyAlignment="1">
      <alignment horizontal="center" vertical="center" wrapText="1"/>
    </xf>
    <xf numFmtId="10" fontId="8" fillId="5" borderId="1" xfId="0" applyNumberFormat="1" applyFont="1" applyFill="1" applyBorder="1" applyAlignment="1">
      <alignment horizontal="left" vertical="center" wrapText="1"/>
    </xf>
    <xf numFmtId="164" fontId="0" fillId="5" borderId="1" xfId="0" applyNumberFormat="1" applyFill="1" applyBorder="1" applyAlignment="1">
      <alignment horizontal="center" vertical="center" wrapText="1"/>
    </xf>
    <xf numFmtId="0" fontId="2" fillId="3" borderId="1" xfId="0" applyFont="1" applyFill="1" applyBorder="1" applyAlignment="1">
      <alignment horizontal="center" vertical="center"/>
    </xf>
    <xf numFmtId="0" fontId="0" fillId="11" borderId="1" xfId="0" applyFill="1" applyBorder="1" applyAlignment="1">
      <alignment horizontal="center"/>
    </xf>
    <xf numFmtId="0" fontId="0" fillId="5" borderId="1" xfId="0" applyFill="1" applyBorder="1" applyAlignment="1">
      <alignment horizontal="left" vertical="top" wrapText="1"/>
    </xf>
    <xf numFmtId="0" fontId="2" fillId="8" borderId="1" xfId="0" applyFont="1" applyFill="1" applyBorder="1" applyAlignment="1">
      <alignment horizontal="center" vertical="center"/>
    </xf>
    <xf numFmtId="0" fontId="2" fillId="7" borderId="1" xfId="0" applyFont="1" applyFill="1" applyBorder="1" applyAlignment="1">
      <alignment horizontal="center" vertical="center"/>
    </xf>
    <xf numFmtId="0" fontId="2" fillId="15" borderId="1" xfId="0" applyFont="1" applyFill="1" applyBorder="1" applyAlignment="1">
      <alignment horizontal="center" vertical="center"/>
    </xf>
    <xf numFmtId="0" fontId="0" fillId="15" borderId="1" xfId="0" applyFill="1" applyBorder="1" applyAlignment="1">
      <alignment horizontal="center"/>
    </xf>
    <xf numFmtId="0" fontId="2" fillId="19" borderId="1" xfId="0" applyFont="1" applyFill="1" applyBorder="1" applyAlignment="1">
      <alignment horizontal="center" vertical="center"/>
    </xf>
    <xf numFmtId="0" fontId="2" fillId="16" borderId="1" xfId="0" applyFont="1" applyFill="1" applyBorder="1" applyAlignment="1">
      <alignment horizontal="center" vertical="center"/>
    </xf>
    <xf numFmtId="10" fontId="0" fillId="5" borderId="1" xfId="0" applyNumberFormat="1" applyFill="1" applyBorder="1" applyAlignment="1">
      <alignment horizontal="left" vertical="center" wrapText="1"/>
    </xf>
    <xf numFmtId="0" fontId="2" fillId="6" borderId="1" xfId="0" applyFont="1" applyFill="1" applyBorder="1" applyAlignment="1">
      <alignment horizontal="center" vertical="center"/>
    </xf>
    <xf numFmtId="0" fontId="2" fillId="17" borderId="1" xfId="0" applyFont="1" applyFill="1" applyBorder="1" applyAlignment="1">
      <alignment horizontal="center" vertical="center"/>
    </xf>
    <xf numFmtId="0" fontId="2" fillId="14" borderId="1" xfId="0" applyFont="1" applyFill="1" applyBorder="1" applyAlignment="1">
      <alignment horizontal="center" vertical="center"/>
    </xf>
    <xf numFmtId="0" fontId="20" fillId="19" borderId="11" xfId="0" applyFont="1" applyFill="1" applyBorder="1" applyAlignment="1">
      <alignment horizontal="center"/>
    </xf>
    <xf numFmtId="0" fontId="2" fillId="7" borderId="1" xfId="0" applyFont="1" applyFill="1" applyBorder="1" applyAlignment="1">
      <alignment horizontal="center" vertical="center" wrapText="1"/>
    </xf>
    <xf numFmtId="0" fontId="2" fillId="11" borderId="1" xfId="0" applyFont="1" applyFill="1" applyBorder="1" applyAlignment="1">
      <alignment horizontal="center" vertical="center"/>
    </xf>
    <xf numFmtId="0" fontId="20" fillId="15" borderId="1" xfId="0" applyFont="1" applyFill="1" applyBorder="1" applyAlignment="1">
      <alignment horizontal="center"/>
    </xf>
    <xf numFmtId="0" fontId="20" fillId="10" borderId="1" xfId="0" applyFont="1" applyFill="1" applyBorder="1" applyAlignment="1">
      <alignment horizontal="center"/>
    </xf>
    <xf numFmtId="0" fontId="20" fillId="18" borderId="1" xfId="0" applyFont="1" applyFill="1" applyBorder="1" applyAlignment="1">
      <alignment horizontal="center"/>
    </xf>
    <xf numFmtId="0" fontId="2" fillId="10" borderId="1" xfId="0" applyFont="1" applyFill="1" applyBorder="1" applyAlignment="1">
      <alignment horizontal="center" vertical="center"/>
    </xf>
    <xf numFmtId="0" fontId="0" fillId="17" borderId="1" xfId="0" applyFill="1" applyBorder="1" applyAlignment="1">
      <alignment horizontal="center"/>
    </xf>
    <xf numFmtId="0" fontId="2" fillId="18" borderId="1" xfId="0" applyFont="1" applyFill="1" applyBorder="1" applyAlignment="1">
      <alignment horizontal="center" vertical="center"/>
    </xf>
    <xf numFmtId="0" fontId="42" fillId="0" borderId="0" xfId="0" applyFont="1" applyAlignment="1">
      <alignment horizontal="left" vertical="top" wrapText="1"/>
    </xf>
    <xf numFmtId="0" fontId="61" fillId="0" borderId="1" xfId="0" applyFont="1" applyBorder="1" applyAlignment="1">
      <alignment horizontal="center" vertical="center"/>
    </xf>
    <xf numFmtId="0" fontId="1" fillId="5" borderId="1" xfId="0" applyFont="1" applyFill="1" applyBorder="1" applyAlignment="1">
      <alignment horizontal="center" vertical="center" wrapText="1"/>
    </xf>
    <xf numFmtId="0" fontId="2" fillId="6" borderId="1" xfId="0" applyFont="1" applyFill="1" applyBorder="1" applyAlignment="1">
      <alignment horizontal="center" vertical="center" wrapText="1"/>
    </xf>
    <xf numFmtId="0" fontId="8" fillId="5" borderId="7" xfId="0" applyFont="1" applyFill="1" applyBorder="1" applyAlignment="1">
      <alignment horizontal="center" vertical="center" wrapText="1"/>
    </xf>
    <xf numFmtId="0" fontId="8" fillId="5" borderId="9" xfId="0" applyFont="1" applyFill="1" applyBorder="1" applyAlignment="1">
      <alignment horizontal="center" vertical="center" wrapText="1"/>
    </xf>
    <xf numFmtId="0" fontId="1" fillId="4" borderId="0" xfId="0" applyFont="1" applyFill="1" applyAlignment="1">
      <alignment horizontal="center" vertical="center" wrapText="1"/>
    </xf>
    <xf numFmtId="0" fontId="0" fillId="4" borderId="0" xfId="0" applyFill="1" applyAlignment="1">
      <alignment horizontal="center"/>
    </xf>
    <xf numFmtId="0" fontId="55" fillId="4" borderId="0" xfId="0" applyFont="1" applyFill="1" applyAlignment="1">
      <alignment horizontal="center" vertical="center" wrapText="1"/>
    </xf>
    <xf numFmtId="0" fontId="28" fillId="30" borderId="1" xfId="0" applyFont="1" applyFill="1" applyBorder="1" applyAlignment="1">
      <alignment horizontal="center" vertical="center" wrapText="1"/>
    </xf>
    <xf numFmtId="0" fontId="35" fillId="18" borderId="11" xfId="0" applyFont="1" applyFill="1" applyBorder="1" applyAlignment="1">
      <alignment horizontal="center" vertical="center" wrapText="1"/>
    </xf>
    <xf numFmtId="0" fontId="28" fillId="30" borderId="4" xfId="0" applyFont="1" applyFill="1" applyBorder="1" applyAlignment="1">
      <alignment horizontal="center" vertical="center" wrapText="1"/>
    </xf>
    <xf numFmtId="0" fontId="28" fillId="30" borderId="7" xfId="0" applyFont="1" applyFill="1" applyBorder="1" applyAlignment="1">
      <alignment horizontal="center" vertical="center" wrapText="1"/>
    </xf>
    <xf numFmtId="0" fontId="28" fillId="30" borderId="8" xfId="0" applyFont="1" applyFill="1" applyBorder="1" applyAlignment="1">
      <alignment horizontal="center" vertical="center" wrapText="1"/>
    </xf>
    <xf numFmtId="0" fontId="28" fillId="30" borderId="9" xfId="0" applyFont="1" applyFill="1" applyBorder="1" applyAlignment="1">
      <alignment horizontal="center" vertical="center" wrapText="1"/>
    </xf>
    <xf numFmtId="0" fontId="30" fillId="30" borderId="1" xfId="0" applyFont="1" applyFill="1" applyBorder="1" applyAlignment="1">
      <alignment horizontal="center" vertical="center" wrapText="1"/>
    </xf>
    <xf numFmtId="0" fontId="2" fillId="4" borderId="0" xfId="0" applyFont="1" applyFill="1" applyAlignment="1">
      <alignment horizontal="center" vertical="center"/>
    </xf>
    <xf numFmtId="0" fontId="28" fillId="30" borderId="7" xfId="0" applyFont="1" applyFill="1" applyBorder="1" applyAlignment="1">
      <alignment horizontal="center" vertical="center"/>
    </xf>
    <xf numFmtId="0" fontId="28" fillId="30" borderId="8" xfId="0" applyFont="1" applyFill="1" applyBorder="1" applyAlignment="1">
      <alignment horizontal="center" vertical="center"/>
    </xf>
    <xf numFmtId="0" fontId="28" fillId="30" borderId="9" xfId="0" applyFont="1" applyFill="1" applyBorder="1" applyAlignment="1">
      <alignment horizontal="center" vertical="center"/>
    </xf>
    <xf numFmtId="0" fontId="30" fillId="30" borderId="1" xfId="0" applyFont="1" applyFill="1" applyBorder="1" applyAlignment="1">
      <alignment horizontal="center" vertical="center"/>
    </xf>
    <xf numFmtId="0" fontId="34" fillId="34" borderId="0" xfId="0" applyFont="1" applyFill="1" applyAlignment="1">
      <alignment horizontal="center" vertical="center"/>
    </xf>
    <xf numFmtId="0" fontId="59" fillId="29" borderId="0" xfId="0" applyFont="1" applyFill="1" applyAlignment="1">
      <alignment horizontal="center" vertical="center" wrapText="1"/>
    </xf>
    <xf numFmtId="0" fontId="57" fillId="0" borderId="0" xfId="0" applyFont="1" applyAlignment="1">
      <alignment horizontal="left" vertical="top" wrapText="1"/>
    </xf>
    <xf numFmtId="0" fontId="57" fillId="0" borderId="6" xfId="0" applyFont="1" applyBorder="1" applyAlignment="1">
      <alignment horizontal="left" vertical="top" wrapText="1"/>
    </xf>
    <xf numFmtId="0" fontId="60" fillId="0" borderId="1" xfId="0" applyFont="1" applyBorder="1" applyAlignment="1">
      <alignment horizontal="left" vertical="top" wrapText="1"/>
    </xf>
    <xf numFmtId="0" fontId="40" fillId="0" borderId="1" xfId="0" applyFont="1" applyBorder="1" applyAlignment="1">
      <alignment horizontal="left" vertical="top" wrapText="1"/>
    </xf>
    <xf numFmtId="0" fontId="57" fillId="0" borderId="1" xfId="0" applyFont="1" applyBorder="1" applyAlignment="1">
      <alignment horizontal="left" vertical="top" wrapText="1"/>
    </xf>
    <xf numFmtId="0" fontId="35" fillId="18" borderId="0" xfId="0" applyFont="1" applyFill="1" applyAlignment="1">
      <alignment horizontal="center" vertical="center" wrapText="1"/>
    </xf>
    <xf numFmtId="0" fontId="35" fillId="32" borderId="6" xfId="0" applyFont="1" applyFill="1" applyBorder="1" applyAlignment="1">
      <alignment horizontal="center" vertical="center"/>
    </xf>
    <xf numFmtId="0" fontId="35" fillId="32" borderId="0" xfId="0" applyFont="1" applyFill="1" applyAlignment="1">
      <alignment horizontal="center" vertical="center"/>
    </xf>
    <xf numFmtId="0" fontId="35" fillId="37" borderId="10" xfId="0" applyFont="1" applyFill="1" applyBorder="1" applyAlignment="1">
      <alignment horizontal="center" vertical="center"/>
    </xf>
    <xf numFmtId="0" fontId="35" fillId="37" borderId="11" xfId="0" applyFont="1" applyFill="1" applyBorder="1" applyAlignment="1">
      <alignment horizontal="center" vertical="center"/>
    </xf>
    <xf numFmtId="0" fontId="35" fillId="20" borderId="11" xfId="0" applyFont="1" applyFill="1" applyBorder="1" applyAlignment="1">
      <alignment horizontal="center" vertical="center" wrapText="1"/>
    </xf>
    <xf numFmtId="0" fontId="27" fillId="7" borderId="0" xfId="0" applyFont="1" applyFill="1" applyAlignment="1">
      <alignment horizontal="center" vertical="center"/>
    </xf>
    <xf numFmtId="0" fontId="0" fillId="29" borderId="0" xfId="0" applyFill="1" applyAlignment="1">
      <alignment horizontal="center"/>
    </xf>
    <xf numFmtId="0" fontId="36" fillId="29" borderId="6" xfId="0" applyFont="1" applyFill="1" applyBorder="1" applyAlignment="1">
      <alignment horizontal="center" vertical="center"/>
    </xf>
    <xf numFmtId="0" fontId="36" fillId="29" borderId="0" xfId="0" applyFont="1" applyFill="1" applyAlignment="1">
      <alignment horizontal="center" vertical="center"/>
    </xf>
    <xf numFmtId="0" fontId="30" fillId="27" borderId="1" xfId="0" applyFont="1" applyFill="1" applyBorder="1" applyAlignment="1">
      <alignment horizontal="center" vertical="center"/>
    </xf>
    <xf numFmtId="0" fontId="0" fillId="27" borderId="1" xfId="0" applyFill="1" applyBorder="1" applyAlignment="1">
      <alignment horizontal="center" vertical="center"/>
    </xf>
    <xf numFmtId="0" fontId="0" fillId="28" borderId="1" xfId="0" applyFill="1" applyBorder="1" applyAlignment="1">
      <alignment horizontal="center" vertical="center"/>
    </xf>
    <xf numFmtId="0" fontId="30" fillId="29" borderId="15" xfId="0" applyFont="1" applyFill="1" applyBorder="1" applyAlignment="1">
      <alignment horizontal="center" vertical="center"/>
    </xf>
    <xf numFmtId="0" fontId="30" fillId="29" borderId="14" xfId="0" applyFont="1" applyFill="1" applyBorder="1" applyAlignment="1">
      <alignment horizontal="center" vertical="center"/>
    </xf>
    <xf numFmtId="0" fontId="0" fillId="29" borderId="6" xfId="0" applyFill="1" applyBorder="1" applyAlignment="1">
      <alignment horizontal="center" vertical="center"/>
    </xf>
    <xf numFmtId="0" fontId="0" fillId="28" borderId="3" xfId="0" applyFill="1" applyBorder="1" applyAlignment="1">
      <alignment horizontal="center" vertical="center"/>
    </xf>
    <xf numFmtId="0" fontId="0" fillId="28" borderId="0" xfId="0" applyFill="1" applyAlignment="1">
      <alignment horizontal="center" vertical="center"/>
    </xf>
    <xf numFmtId="0" fontId="4" fillId="29" borderId="8" xfId="0" applyFont="1" applyFill="1" applyBorder="1" applyAlignment="1">
      <alignment horizontal="center" vertical="center"/>
    </xf>
    <xf numFmtId="0" fontId="4" fillId="29" borderId="9" xfId="0" applyFont="1" applyFill="1" applyBorder="1" applyAlignment="1">
      <alignment horizontal="center" vertical="center"/>
    </xf>
    <xf numFmtId="0" fontId="42" fillId="4" borderId="0" xfId="0" applyFont="1" applyFill="1" applyAlignment="1">
      <alignment horizontal="left" vertical="top" wrapText="1"/>
    </xf>
    <xf numFmtId="0" fontId="42" fillId="4" borderId="0" xfId="0" applyFont="1" applyFill="1" applyAlignment="1">
      <alignment horizontal="left" vertical="top"/>
    </xf>
    <xf numFmtId="0" fontId="54" fillId="36" borderId="1" xfId="0" applyFont="1" applyFill="1" applyBorder="1" applyAlignment="1">
      <alignment horizontal="center" vertical="center"/>
    </xf>
    <xf numFmtId="0" fontId="0" fillId="26" borderId="1" xfId="0" applyFill="1" applyBorder="1" applyAlignment="1">
      <alignment horizontal="center" vertical="center"/>
    </xf>
    <xf numFmtId="0" fontId="0" fillId="7" borderId="14" xfId="0" applyFill="1" applyBorder="1" applyAlignment="1">
      <alignment horizontal="center"/>
    </xf>
    <xf numFmtId="0" fontId="0" fillId="7" borderId="0" xfId="0" applyFill="1" applyAlignment="1">
      <alignment horizontal="center"/>
    </xf>
    <xf numFmtId="0" fontId="4" fillId="29" borderId="7" xfId="0" applyFont="1" applyFill="1" applyBorder="1" applyAlignment="1">
      <alignment horizontal="center" vertical="center"/>
    </xf>
    <xf numFmtId="0" fontId="0" fillId="28" borderId="13" xfId="0" applyFill="1" applyBorder="1" applyAlignment="1">
      <alignment horizontal="center" vertical="center"/>
    </xf>
    <xf numFmtId="0" fontId="0" fillId="28" borderId="15" xfId="0" applyFill="1" applyBorder="1" applyAlignment="1">
      <alignment horizontal="center" vertical="center"/>
    </xf>
    <xf numFmtId="0" fontId="0" fillId="28" borderId="10" xfId="0" applyFill="1" applyBorder="1" applyAlignment="1">
      <alignment horizontal="center" vertical="center"/>
    </xf>
    <xf numFmtId="0" fontId="0" fillId="28" borderId="12" xfId="0" applyFill="1" applyBorder="1" applyAlignment="1">
      <alignment horizontal="center" vertical="center"/>
    </xf>
    <xf numFmtId="0" fontId="0" fillId="7" borderId="6" xfId="0" applyFill="1" applyBorder="1" applyAlignment="1">
      <alignment horizontal="center"/>
    </xf>
    <xf numFmtId="0" fontId="0" fillId="7" borderId="2" xfId="0" applyFill="1" applyBorder="1" applyAlignment="1">
      <alignment horizontal="center" vertical="center"/>
    </xf>
    <xf numFmtId="0" fontId="0" fillId="7" borderId="6" xfId="0" applyFill="1" applyBorder="1" applyAlignment="1">
      <alignment horizontal="center" vertical="center"/>
    </xf>
    <xf numFmtId="0" fontId="54" fillId="7" borderId="4" xfId="0" applyFont="1" applyFill="1" applyBorder="1" applyAlignment="1">
      <alignment horizontal="center" vertical="center"/>
    </xf>
    <xf numFmtId="0" fontId="54" fillId="7" borderId="2" xfId="0" applyFont="1" applyFill="1" applyBorder="1" applyAlignment="1">
      <alignment horizontal="center" vertical="center"/>
    </xf>
    <xf numFmtId="9" fontId="0" fillId="5" borderId="1" xfId="0" applyNumberFormat="1" applyFill="1" applyBorder="1" applyAlignment="1">
      <alignment horizontal="center" vertical="center"/>
    </xf>
    <xf numFmtId="9" fontId="0" fillId="5" borderId="7" xfId="0" applyNumberFormat="1" applyFill="1" applyBorder="1" applyAlignment="1">
      <alignment horizontal="center" vertical="center"/>
    </xf>
    <xf numFmtId="164" fontId="0" fillId="0" borderId="0" xfId="0" applyNumberFormat="1" applyFont="1" applyAlignment="1">
      <alignment horizontal="center"/>
    </xf>
    <xf numFmtId="0" fontId="0" fillId="0" borderId="0" xfId="0" applyFont="1" applyAlignment="1">
      <alignment horizontal="center" vertical="center"/>
    </xf>
    <xf numFmtId="2" fontId="0" fillId="0" borderId="0" xfId="0" applyNumberFormat="1" applyFont="1" applyAlignment="1">
      <alignment horizontal="center"/>
    </xf>
    <xf numFmtId="10" fontId="0" fillId="0" borderId="0" xfId="0" applyNumberFormat="1" applyFont="1" applyAlignment="1">
      <alignment horizontal="center"/>
    </xf>
    <xf numFmtId="10" fontId="0" fillId="0" borderId="0" xfId="0" applyNumberFormat="1" applyFont="1"/>
    <xf numFmtId="2" fontId="0" fillId="0" borderId="0" xfId="0" applyNumberFormat="1" applyFont="1"/>
    <xf numFmtId="0" fontId="0" fillId="0" borderId="0" xfId="0" applyFont="1"/>
    <xf numFmtId="1" fontId="0" fillId="0" borderId="0" xfId="0" applyNumberFormat="1" applyFont="1" applyAlignment="1">
      <alignment horizontal="center"/>
    </xf>
    <xf numFmtId="2" fontId="0" fillId="4" borderId="0" xfId="0" applyNumberFormat="1" applyFont="1" applyFill="1" applyAlignment="1">
      <alignment horizontal="center"/>
    </xf>
    <xf numFmtId="1" fontId="0" fillId="4" borderId="0" xfId="0" applyNumberFormat="1" applyFont="1" applyFill="1" applyAlignment="1">
      <alignment horizontal="center"/>
    </xf>
  </cellXfs>
  <cellStyles count="2">
    <cellStyle name="Hyperlink" xfId="1" builtinId="8"/>
    <cellStyle name="Normal" xfId="0" builtinId="0"/>
  </cellStyles>
  <dxfs count="62">
    <dxf>
      <font>
        <b val="0"/>
        <strike val="0"/>
        <outline val="0"/>
        <shadow val="0"/>
        <u val="none"/>
        <vertAlign val="baseline"/>
        <sz val="14"/>
        <color theme="1"/>
        <name val="Calibri"/>
        <family val="2"/>
        <scheme val="minor"/>
      </font>
      <numFmt numFmtId="1" formatCode="0"/>
      <border diagonalUp="0" diagonalDown="0" outline="0">
        <left style="thin">
          <color auto="1"/>
        </left>
        <right style="thin">
          <color auto="1"/>
        </right>
        <top style="thin">
          <color indexed="64"/>
        </top>
        <bottom style="thin">
          <color indexed="64"/>
        </bottom>
      </border>
    </dxf>
    <dxf>
      <font>
        <b val="0"/>
        <strike val="0"/>
        <outline val="0"/>
        <shadow val="0"/>
        <u val="none"/>
        <vertAlign val="baseline"/>
        <sz val="14"/>
        <color theme="1"/>
        <name val="Calibri"/>
        <family val="2"/>
        <scheme val="minor"/>
      </font>
      <numFmt numFmtId="1" formatCode="0"/>
      <border diagonalUp="0" diagonalDown="0" outline="0">
        <left style="thin">
          <color auto="1"/>
        </left>
        <right style="thin">
          <color auto="1"/>
        </right>
        <top style="thin">
          <color indexed="64"/>
        </top>
        <bottom style="thin">
          <color indexed="64"/>
        </bottom>
      </border>
    </dxf>
    <dxf>
      <font>
        <b val="0"/>
        <strike val="0"/>
        <outline val="0"/>
        <shadow val="0"/>
        <u val="none"/>
        <vertAlign val="baseline"/>
        <sz val="14"/>
        <color theme="1"/>
        <name val="Calibri"/>
        <family val="2"/>
        <scheme val="minor"/>
      </font>
      <numFmt numFmtId="1" formatCode="0"/>
      <border diagonalUp="0" diagonalDown="0" outline="0">
        <left style="thin">
          <color indexed="64"/>
        </left>
        <right style="thin">
          <color auto="1"/>
        </right>
        <top style="thin">
          <color indexed="64"/>
        </top>
        <bottom style="thin">
          <color indexed="64"/>
        </bottom>
      </border>
    </dxf>
    <dxf>
      <font>
        <b val="0"/>
        <strike val="0"/>
        <outline val="0"/>
        <shadow val="0"/>
        <u val="none"/>
        <vertAlign val="baseline"/>
        <sz val="14"/>
        <color theme="1"/>
        <name val="Calibri"/>
        <family val="2"/>
        <scheme val="minor"/>
      </font>
      <numFmt numFmtId="2" formatCode="0.00"/>
      <alignment horizontal="center" textRotation="0" indent="0" justifyLastLine="0" shrinkToFit="0" readingOrder="0"/>
      <border diagonalUp="0" diagonalDown="0" outline="0">
        <left style="thin">
          <color indexed="64"/>
        </left>
        <right style="thin">
          <color auto="1"/>
        </right>
        <top style="thin">
          <color indexed="64"/>
        </top>
        <bottom style="thin">
          <color indexed="64"/>
        </bottom>
      </border>
    </dxf>
    <dxf>
      <font>
        <strike val="0"/>
        <outline val="0"/>
        <shadow val="0"/>
        <u val="none"/>
        <vertAlign val="baseline"/>
        <sz val="14"/>
        <color theme="1"/>
        <name val="Calibri"/>
        <family val="2"/>
        <scheme val="minor"/>
      </font>
      <numFmt numFmtId="2" formatCode="0.00"/>
    </dxf>
    <dxf>
      <font>
        <b val="0"/>
        <strike val="0"/>
        <outline val="0"/>
        <shadow val="0"/>
        <u val="none"/>
        <vertAlign val="baseline"/>
        <sz val="14"/>
        <color theme="1"/>
        <name val="Calibri"/>
        <family val="2"/>
        <scheme val="minor"/>
      </font>
      <numFmt numFmtId="14" formatCode="0.00%"/>
      <fill>
        <patternFill>
          <fgColor indexed="64"/>
          <bgColor theme="0"/>
        </patternFill>
      </fill>
      <alignment horizontal="center" textRotation="0" indent="0" justifyLastLine="0" shrinkToFit="0" readingOrder="0"/>
      <border diagonalUp="0" diagonalDown="0" outline="0">
        <left style="thin">
          <color auto="1"/>
        </left>
        <right style="thin">
          <color auto="1"/>
        </right>
        <top style="thin">
          <color indexed="64"/>
        </top>
        <bottom style="thin">
          <color indexed="64"/>
        </bottom>
      </border>
    </dxf>
    <dxf>
      <font>
        <b val="0"/>
        <strike val="0"/>
        <outline val="0"/>
        <shadow val="0"/>
        <u val="none"/>
        <vertAlign val="baseline"/>
        <sz val="14"/>
        <color theme="1"/>
        <name val="Calibri"/>
        <family val="2"/>
        <scheme val="minor"/>
      </font>
      <numFmt numFmtId="14" formatCode="0.00%"/>
      <alignment horizont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4"/>
        <color theme="1"/>
        <name val="Calibri"/>
        <family val="2"/>
        <scheme val="minor"/>
      </font>
      <numFmt numFmtId="2" formatCode="0.00"/>
      <alignment horizontal="center" textRotation="0" indent="0" justifyLastLine="0" shrinkToFit="0" readingOrder="0"/>
      <border diagonalUp="0" diagonalDown="0" outline="0">
        <left style="thin">
          <color auto="1"/>
        </left>
        <right style="thin">
          <color auto="1"/>
        </right>
        <top style="thin">
          <color auto="1"/>
        </top>
        <bottom style="thin">
          <color auto="1"/>
        </bottom>
      </border>
    </dxf>
    <dxf>
      <font>
        <b val="0"/>
        <strike val="0"/>
        <outline val="0"/>
        <shadow val="0"/>
        <u val="none"/>
        <vertAlign val="baseline"/>
        <sz val="14"/>
        <color theme="1"/>
        <name val="Calibri"/>
        <family val="2"/>
        <scheme val="minor"/>
      </font>
      <numFmt numFmtId="2" formatCode="0.00"/>
      <alignment horizontal="center" vertical="bottom" textRotation="0" wrapText="0" indent="0" justifyLastLine="0" shrinkToFit="0" readingOrder="0"/>
      <border diagonalUp="0" diagonalDown="0" outline="0">
        <left style="thin">
          <color auto="1"/>
        </left>
        <right style="thin">
          <color auto="1"/>
        </right>
        <top style="thin">
          <color auto="1"/>
        </top>
        <bottom style="thin">
          <color auto="1"/>
        </bottom>
      </border>
    </dxf>
    <dxf>
      <font>
        <b val="0"/>
        <strike val="0"/>
        <outline val="0"/>
        <shadow val="0"/>
        <u val="none"/>
        <vertAlign val="baseline"/>
        <sz val="14"/>
        <color theme="1"/>
        <name val="Calibri"/>
        <family val="2"/>
        <scheme val="minor"/>
      </font>
      <numFmt numFmtId="1" formatCode="0"/>
      <alignment horizont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strike val="0"/>
        <outline val="0"/>
        <shadow val="0"/>
        <u val="none"/>
        <vertAlign val="baseline"/>
        <sz val="14"/>
        <color theme="1"/>
        <name val="Calibri"/>
        <family val="2"/>
        <scheme val="minor"/>
      </font>
      <numFmt numFmtId="2" formatCode="0.00"/>
      <fill>
        <patternFill patternType="solid">
          <fgColor indexed="64"/>
          <bgColor theme="0"/>
        </patternFill>
      </fill>
      <alignment horizontal="center" vertical="top" textRotation="0" wrapText="0" indent="0" justifyLastLine="0" shrinkToFit="0" readingOrder="0"/>
      <border diagonalUp="0" diagonalDown="0" outline="0">
        <left style="thin">
          <color auto="1"/>
        </left>
        <right style="thin">
          <color auto="1"/>
        </right>
        <top style="thin">
          <color auto="1"/>
        </top>
        <bottom style="thin">
          <color auto="1"/>
        </bottom>
      </border>
    </dxf>
    <dxf>
      <font>
        <b val="0"/>
        <strike val="0"/>
        <outline val="0"/>
        <shadow val="0"/>
        <u val="none"/>
        <vertAlign val="baseline"/>
        <sz val="14"/>
        <color theme="1"/>
        <name val="Calibri"/>
        <family val="2"/>
        <scheme val="minor"/>
      </font>
      <numFmt numFmtId="2" formatCode="0.00"/>
      <border diagonalUp="0" diagonalDown="0" outline="0">
        <left style="thin">
          <color indexed="64"/>
        </left>
        <right style="thin">
          <color indexed="64"/>
        </right>
        <top style="thin">
          <color indexed="64"/>
        </top>
        <bottom style="thin">
          <color indexed="64"/>
        </bottom>
      </border>
    </dxf>
    <dxf>
      <font>
        <b val="0"/>
        <strike val="0"/>
        <outline val="0"/>
        <shadow val="0"/>
        <u val="none"/>
        <vertAlign val="baseline"/>
        <sz val="14"/>
        <color theme="1"/>
        <name val="Calibri"/>
        <family val="2"/>
        <scheme val="minor"/>
      </font>
      <numFmt numFmtId="2" formatCode="0.00"/>
      <border diagonalUp="0" diagonalDown="0" outline="0">
        <left style="thin">
          <color indexed="64"/>
        </left>
        <right style="thin">
          <color indexed="64"/>
        </right>
        <top style="thin">
          <color indexed="64"/>
        </top>
        <bottom style="thin">
          <color indexed="64"/>
        </bottom>
      </border>
    </dxf>
    <dxf>
      <font>
        <b val="0"/>
        <strike val="0"/>
        <outline val="0"/>
        <shadow val="0"/>
        <u val="none"/>
        <vertAlign val="baseline"/>
        <sz val="14"/>
        <color theme="1"/>
        <name val="Calibri"/>
        <family val="2"/>
        <scheme val="minor"/>
      </font>
      <numFmt numFmtId="2" formatCode="0.00"/>
      <border diagonalUp="0" diagonalDown="0" outline="0">
        <left style="thin">
          <color indexed="64"/>
        </left>
        <right style="thin">
          <color indexed="64"/>
        </right>
        <top style="thin">
          <color indexed="64"/>
        </top>
        <bottom style="thin">
          <color indexed="64"/>
        </bottom>
      </border>
    </dxf>
    <dxf>
      <font>
        <b val="0"/>
        <strike val="0"/>
        <outline val="0"/>
        <shadow val="0"/>
        <u val="none"/>
        <vertAlign val="baseline"/>
        <sz val="14"/>
        <color theme="1"/>
        <name val="Calibri"/>
        <family val="2"/>
        <scheme val="minor"/>
      </font>
      <numFmt numFmtId="2" formatCode="0.00"/>
      <border diagonalUp="0" diagonalDown="0" outline="0">
        <left style="thin">
          <color indexed="64"/>
        </left>
        <right style="thin">
          <color indexed="64"/>
        </right>
        <top style="thin">
          <color indexed="64"/>
        </top>
        <bottom style="thin">
          <color indexed="64"/>
        </bottom>
      </border>
    </dxf>
    <dxf>
      <font>
        <b val="0"/>
        <strike val="0"/>
        <outline val="0"/>
        <shadow val="0"/>
        <u val="none"/>
        <vertAlign val="baseline"/>
        <sz val="14"/>
        <color theme="1"/>
        <name val="Calibri"/>
        <family val="2"/>
        <scheme val="minor"/>
      </font>
      <numFmt numFmtId="2" formatCode="0.00"/>
      <border diagonalUp="0" diagonalDown="0" outline="0">
        <left style="thin">
          <color indexed="64"/>
        </left>
        <right style="thin">
          <color indexed="64"/>
        </right>
        <top style="thin">
          <color indexed="64"/>
        </top>
        <bottom style="thin">
          <color indexed="64"/>
        </bottom>
      </border>
    </dxf>
    <dxf>
      <font>
        <b val="0"/>
        <strike val="0"/>
        <outline val="0"/>
        <shadow val="0"/>
        <u val="none"/>
        <vertAlign val="baseline"/>
        <sz val="14"/>
        <color theme="1"/>
        <name val="Calibri"/>
        <family val="2"/>
        <scheme val="minor"/>
      </font>
      <numFmt numFmtId="2" formatCode="0.00"/>
      <border diagonalUp="0" diagonalDown="0" outline="0">
        <left style="thin">
          <color indexed="64"/>
        </left>
        <right style="thin">
          <color indexed="64"/>
        </right>
        <top style="thin">
          <color indexed="64"/>
        </top>
        <bottom style="thin">
          <color indexed="64"/>
        </bottom>
      </border>
    </dxf>
    <dxf>
      <font>
        <b val="0"/>
        <strike val="0"/>
        <outline val="0"/>
        <shadow val="0"/>
        <u val="none"/>
        <vertAlign val="baseline"/>
        <sz val="14"/>
        <color theme="1"/>
        <name val="Calibri"/>
        <family val="2"/>
        <scheme val="minor"/>
      </font>
      <numFmt numFmtId="2" formatCode="0.00"/>
      <alignment horizont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strike val="0"/>
        <outline val="0"/>
        <shadow val="0"/>
        <u val="none"/>
        <vertAlign val="baseline"/>
        <sz val="14"/>
        <color theme="1"/>
        <name val="Calibri"/>
        <family val="2"/>
        <scheme val="minor"/>
      </font>
      <numFmt numFmtId="14" formatCode="0.00%"/>
      <alignment horizontal="center" vertical="bottom" textRotation="0" wrapText="0" indent="0" justifyLastLine="0" shrinkToFit="0" readingOrder="0"/>
      <border diagonalUp="0" diagonalDown="0" outline="0">
        <left style="thin">
          <color auto="1"/>
        </left>
        <right style="thin">
          <color auto="1"/>
        </right>
        <top style="thin">
          <color auto="1"/>
        </top>
        <bottom style="thin">
          <color auto="1"/>
        </bottom>
      </border>
    </dxf>
    <dxf>
      <font>
        <b val="0"/>
        <strike val="0"/>
        <outline val="0"/>
        <shadow val="0"/>
        <u val="none"/>
        <vertAlign val="baseline"/>
        <sz val="14"/>
        <color theme="1"/>
        <name val="Calibri"/>
        <family val="2"/>
        <scheme val="minor"/>
      </font>
      <numFmt numFmtId="14" formatCode="0.00%"/>
      <alignment horizontal="center" vertical="bottom" textRotation="0" wrapText="0" indent="0" justifyLastLine="0" shrinkToFit="0" readingOrder="0"/>
      <border diagonalUp="0" diagonalDown="0" outline="0">
        <left style="thin">
          <color auto="1"/>
        </left>
        <right style="thin">
          <color auto="1"/>
        </right>
        <top style="thin">
          <color auto="1"/>
        </top>
        <bottom style="thin">
          <color auto="1"/>
        </bottom>
      </border>
    </dxf>
    <dxf>
      <font>
        <b val="0"/>
        <strike val="0"/>
        <outline val="0"/>
        <shadow val="0"/>
        <u val="none"/>
        <vertAlign val="baseline"/>
        <sz val="14"/>
        <color theme="1"/>
        <name val="Calibri"/>
        <family val="2"/>
        <scheme val="minor"/>
      </font>
      <numFmt numFmtId="14" formatCode="0.00%"/>
      <alignment horizont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4"/>
        <color theme="1"/>
        <name val="Calibri"/>
        <family val="2"/>
        <scheme val="minor"/>
      </font>
      <numFmt numFmtId="2" formatCode="0.00"/>
      <alignment horizontal="center" vertical="bottom" textRotation="0" wrapText="0" indent="0" justifyLastLine="0" shrinkToFit="0" readingOrder="0"/>
      <border diagonalUp="0" diagonalDown="0" outline="0">
        <left style="thin">
          <color auto="1"/>
        </left>
        <right style="thin">
          <color auto="1"/>
        </right>
        <top style="thin">
          <color auto="1"/>
        </top>
        <bottom style="thin">
          <color auto="1"/>
        </bottom>
      </border>
    </dxf>
    <dxf>
      <font>
        <b val="0"/>
        <strike val="0"/>
        <outline val="0"/>
        <shadow val="0"/>
        <u val="none"/>
        <vertAlign val="baseline"/>
        <sz val="14"/>
        <color theme="1"/>
        <name val="Calibri"/>
        <family val="2"/>
        <scheme val="minor"/>
      </font>
      <numFmt numFmtId="2" formatCode="0.00"/>
      <alignment horizont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strike val="0"/>
        <outline val="0"/>
        <shadow val="0"/>
        <u val="none"/>
        <vertAlign val="baseline"/>
        <sz val="14"/>
        <color theme="1"/>
        <name val="Calibri"/>
        <family val="2"/>
        <scheme val="minor"/>
      </font>
      <numFmt numFmtId="2" formatCode="0.00"/>
      <alignment horizont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strike val="0"/>
        <outline val="0"/>
        <shadow val="0"/>
        <u val="none"/>
        <vertAlign val="baseline"/>
        <sz val="14"/>
        <color theme="1"/>
        <name val="Calibri"/>
        <family val="2"/>
        <scheme val="minor"/>
      </font>
      <numFmt numFmtId="0" formatCode="General"/>
      <alignment horizontal="center" vertical="center" textRotation="0" indent="0" justifyLastLine="0" shrinkToFit="0" readingOrder="0"/>
      <border diagonalUp="0" diagonalDown="0" outline="0">
        <left/>
        <right style="thin">
          <color indexed="64"/>
        </right>
        <top style="thin">
          <color indexed="64"/>
        </top>
        <bottom style="thin">
          <color indexed="64"/>
        </bottom>
      </border>
    </dxf>
    <dxf>
      <font>
        <b val="0"/>
        <strike val="0"/>
        <outline val="0"/>
        <shadow val="0"/>
        <u val="none"/>
        <vertAlign val="baseline"/>
        <sz val="14"/>
        <color theme="1"/>
        <name val="Calibri"/>
        <family val="2"/>
        <scheme val="minor"/>
      </font>
      <numFmt numFmtId="164" formatCode="&quot;₹&quot;\ #,##0"/>
      <alignment horizontal="center" textRotation="0" indent="0" justifyLastLine="0" shrinkToFit="0" readingOrder="0"/>
      <border diagonalUp="0" diagonalDown="0" outline="0">
        <left/>
        <right style="thin">
          <color indexed="64"/>
        </right>
        <top style="thin">
          <color indexed="64"/>
        </top>
        <bottom style="thin">
          <color indexed="64"/>
        </bottom>
      </border>
    </dxf>
    <dxf>
      <font>
        <b val="0"/>
        <strike val="0"/>
        <outline val="0"/>
        <shadow val="0"/>
        <u val="none"/>
        <vertAlign val="baseline"/>
        <sz val="14"/>
        <color theme="1"/>
        <name val="Calibri"/>
        <family val="2"/>
        <scheme val="minor"/>
      </font>
      <border diagonalUp="0" diagonalDown="0" outline="0">
        <left style="thin">
          <color auto="1"/>
        </left>
        <right style="thin">
          <color indexed="64"/>
        </right>
        <top style="thin">
          <color indexed="64"/>
        </top>
        <bottom style="thin">
          <color indexed="64"/>
        </bottom>
      </border>
    </dxf>
    <dxf>
      <font>
        <b/>
        <strike val="0"/>
        <outline val="0"/>
        <shadow val="0"/>
        <u val="none"/>
        <vertAlign val="baseline"/>
        <sz val="14"/>
        <name val="Calibri"/>
        <family val="2"/>
        <scheme val="minor"/>
      </font>
      <alignment horizontal="center" vertical="center" textRotation="0" wrapText="1" indent="0" justifyLastLine="0" shrinkToFit="0" readingOrder="0"/>
      <border diagonalUp="0" diagonalDown="0" outline="0">
        <left/>
        <right/>
        <top style="thin">
          <color indexed="64"/>
        </top>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font>
        <b val="0"/>
        <strike val="0"/>
        <outline val="0"/>
        <shadow val="0"/>
        <u val="none"/>
        <vertAlign val="baseline"/>
        <sz val="14"/>
        <name val="Calibri"/>
        <family val="2"/>
        <scheme val="minor"/>
      </font>
    </dxf>
    <dxf>
      <border>
        <bottom style="thin">
          <color indexed="64"/>
        </bottom>
      </border>
    </dxf>
    <dxf>
      <font>
        <b/>
        <strike val="0"/>
        <outline val="0"/>
        <shadow val="0"/>
        <u val="none"/>
        <vertAlign val="baseline"/>
        <sz val="11"/>
        <color theme="1"/>
        <name val="Calibri"/>
        <family val="2"/>
        <scheme val="minor"/>
      </font>
      <fill>
        <patternFill patternType="solid">
          <fgColor indexed="64"/>
          <bgColor theme="2" tint="-0.749992370372631"/>
        </patternFill>
      </fill>
      <alignment horizontal="center" vertical="center" textRotation="0" wrapText="1" indent="0" justifyLastLine="0" shrinkToFit="0" readingOrder="0"/>
      <border diagonalUp="0" diagonalDown="0" outline="0">
        <left style="thin">
          <color indexed="64"/>
        </left>
        <right style="thin">
          <color indexed="64"/>
        </right>
        <top/>
        <bottom/>
      </border>
    </dxf>
    <dxf>
      <font>
        <b val="0"/>
        <strike val="0"/>
        <outline val="0"/>
        <shadow val="0"/>
        <u val="none"/>
        <vertAlign val="baseline"/>
        <sz val="14"/>
        <color theme="1"/>
        <name val="Calibri"/>
        <family val="2"/>
        <scheme val="minor"/>
      </font>
      <numFmt numFmtId="2" formatCode="0.00"/>
      <alignment horizontal="center" textRotation="0" indent="0" justifyLastLine="0" shrinkToFit="0" readingOrder="0"/>
      <border diagonalUp="0" diagonalDown="0" outline="0">
        <left style="thin">
          <color indexed="64"/>
        </left>
        <right/>
        <top style="thin">
          <color indexed="64"/>
        </top>
        <bottom style="thin">
          <color indexed="64"/>
        </bottom>
      </border>
    </dxf>
    <dxf>
      <font>
        <strike val="0"/>
        <outline val="0"/>
        <shadow val="0"/>
        <u val="none"/>
        <vertAlign val="baseline"/>
        <sz val="14"/>
        <color theme="1"/>
        <name val="Calibri"/>
        <family val="2"/>
        <scheme val="minor"/>
      </font>
      <numFmt numFmtId="2" formatCode="0.00"/>
    </dxf>
    <dxf>
      <font>
        <b val="0"/>
        <strike val="0"/>
        <outline val="0"/>
        <shadow val="0"/>
        <u val="none"/>
        <vertAlign val="baseline"/>
        <sz val="14"/>
        <color theme="1"/>
        <name val="Calibri"/>
        <family val="2"/>
        <scheme val="minor"/>
      </font>
      <numFmt numFmtId="14" formatCode="0.00%"/>
      <fill>
        <patternFill>
          <fgColor indexed="64"/>
          <bgColor theme="0"/>
        </patternFill>
      </fill>
      <alignment horizontal="center" textRotation="0" indent="0" justifyLastLine="0" shrinkToFit="0" readingOrder="0"/>
      <border diagonalUp="0" diagonalDown="0" outline="0">
        <left style="thin">
          <color auto="1"/>
        </left>
        <right style="thin">
          <color auto="1"/>
        </right>
        <top style="thin">
          <color indexed="64"/>
        </top>
        <bottom style="thin">
          <color indexed="64"/>
        </bottom>
      </border>
    </dxf>
    <dxf>
      <font>
        <b val="0"/>
        <strike val="0"/>
        <outline val="0"/>
        <shadow val="0"/>
        <u val="none"/>
        <vertAlign val="baseline"/>
        <sz val="14"/>
        <color theme="1"/>
        <name val="Calibri"/>
        <family val="2"/>
        <scheme val="minor"/>
      </font>
      <numFmt numFmtId="14" formatCode="0.00%"/>
      <alignment horizont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4"/>
        <color theme="1"/>
        <name val="Calibri"/>
        <family val="2"/>
        <scheme val="minor"/>
      </font>
      <numFmt numFmtId="2" formatCode="0.00"/>
      <alignment horizontal="center" textRotation="0" indent="0" justifyLastLine="0" shrinkToFit="0" readingOrder="0"/>
      <border diagonalUp="0" diagonalDown="0" outline="0">
        <left style="thin">
          <color auto="1"/>
        </left>
        <right style="thin">
          <color auto="1"/>
        </right>
        <top style="thin">
          <color auto="1"/>
        </top>
        <bottom style="thin">
          <color auto="1"/>
        </bottom>
      </border>
    </dxf>
    <dxf>
      <font>
        <b val="0"/>
        <strike val="0"/>
        <outline val="0"/>
        <shadow val="0"/>
        <u val="none"/>
        <vertAlign val="baseline"/>
        <sz val="14"/>
        <color theme="1"/>
        <name val="Calibri"/>
        <family val="2"/>
        <scheme val="minor"/>
      </font>
      <numFmt numFmtId="2" formatCode="0.00"/>
      <alignment horizontal="center" vertical="bottom" textRotation="0" wrapText="0" indent="0" justifyLastLine="0" shrinkToFit="0" readingOrder="0"/>
      <border diagonalUp="0" diagonalDown="0" outline="0">
        <left style="thin">
          <color auto="1"/>
        </left>
        <right style="thin">
          <color auto="1"/>
        </right>
        <top style="thin">
          <color auto="1"/>
        </top>
        <bottom style="thin">
          <color auto="1"/>
        </bottom>
      </border>
    </dxf>
    <dxf>
      <font>
        <b val="0"/>
        <strike val="0"/>
        <outline val="0"/>
        <shadow val="0"/>
        <u val="none"/>
        <vertAlign val="baseline"/>
        <sz val="14"/>
        <color theme="1"/>
        <name val="Calibri"/>
        <family val="2"/>
        <scheme val="minor"/>
      </font>
      <numFmt numFmtId="1" formatCode="0"/>
      <alignment horizont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strike val="0"/>
        <outline val="0"/>
        <shadow val="0"/>
        <u val="none"/>
        <vertAlign val="baseline"/>
        <sz val="14"/>
        <color theme="1"/>
        <name val="Calibri"/>
        <family val="2"/>
        <scheme val="minor"/>
      </font>
      <numFmt numFmtId="2" formatCode="0.00"/>
      <fill>
        <patternFill patternType="solid">
          <fgColor indexed="64"/>
          <bgColor theme="0"/>
        </patternFill>
      </fill>
      <alignment horizontal="center" vertical="top" textRotation="0" wrapText="0" indent="0" justifyLastLine="0" shrinkToFit="0" readingOrder="0"/>
      <border diagonalUp="0" diagonalDown="0" outline="0">
        <left style="thin">
          <color auto="1"/>
        </left>
        <right style="thin">
          <color auto="1"/>
        </right>
        <top style="thin">
          <color auto="1"/>
        </top>
        <bottom style="thin">
          <color auto="1"/>
        </bottom>
      </border>
    </dxf>
    <dxf>
      <font>
        <b val="0"/>
        <strike val="0"/>
        <outline val="0"/>
        <shadow val="0"/>
        <u val="none"/>
        <vertAlign val="baseline"/>
        <sz val="14"/>
        <color theme="1"/>
        <name val="Calibri"/>
        <family val="2"/>
        <scheme val="minor"/>
      </font>
      <numFmt numFmtId="2" formatCode="0.00"/>
      <border diagonalUp="0" diagonalDown="0" outline="0">
        <left style="thin">
          <color indexed="64"/>
        </left>
        <right style="thin">
          <color indexed="64"/>
        </right>
        <top style="thin">
          <color indexed="64"/>
        </top>
        <bottom style="thin">
          <color indexed="64"/>
        </bottom>
      </border>
    </dxf>
    <dxf>
      <font>
        <b val="0"/>
        <strike val="0"/>
        <outline val="0"/>
        <shadow val="0"/>
        <u val="none"/>
        <vertAlign val="baseline"/>
        <sz val="14"/>
        <color theme="1"/>
        <name val="Calibri"/>
        <family val="2"/>
        <scheme val="minor"/>
      </font>
      <numFmt numFmtId="2" formatCode="0.00"/>
      <border diagonalUp="0" diagonalDown="0" outline="0">
        <left style="thin">
          <color indexed="64"/>
        </left>
        <right style="thin">
          <color indexed="64"/>
        </right>
        <top style="thin">
          <color indexed="64"/>
        </top>
        <bottom style="thin">
          <color indexed="64"/>
        </bottom>
      </border>
    </dxf>
    <dxf>
      <font>
        <b val="0"/>
        <strike val="0"/>
        <outline val="0"/>
        <shadow val="0"/>
        <u val="none"/>
        <vertAlign val="baseline"/>
        <sz val="14"/>
        <color theme="1"/>
        <name val="Calibri"/>
        <family val="2"/>
        <scheme val="minor"/>
      </font>
      <numFmt numFmtId="2" formatCode="0.00"/>
      <border diagonalUp="0" diagonalDown="0" outline="0">
        <left style="thin">
          <color indexed="64"/>
        </left>
        <right style="thin">
          <color indexed="64"/>
        </right>
        <top style="thin">
          <color indexed="64"/>
        </top>
        <bottom style="thin">
          <color indexed="64"/>
        </bottom>
      </border>
    </dxf>
    <dxf>
      <font>
        <b val="0"/>
        <strike val="0"/>
        <outline val="0"/>
        <shadow val="0"/>
        <u val="none"/>
        <vertAlign val="baseline"/>
        <sz val="14"/>
        <color theme="1"/>
        <name val="Calibri"/>
        <family val="2"/>
        <scheme val="minor"/>
      </font>
      <numFmt numFmtId="2" formatCode="0.00"/>
      <border diagonalUp="0" diagonalDown="0" outline="0">
        <left style="thin">
          <color indexed="64"/>
        </left>
        <right style="thin">
          <color indexed="64"/>
        </right>
        <top style="thin">
          <color indexed="64"/>
        </top>
        <bottom style="thin">
          <color indexed="64"/>
        </bottom>
      </border>
    </dxf>
    <dxf>
      <font>
        <b val="0"/>
        <strike val="0"/>
        <outline val="0"/>
        <shadow val="0"/>
        <u val="none"/>
        <vertAlign val="baseline"/>
        <sz val="14"/>
        <color theme="1"/>
        <name val="Calibri"/>
        <family val="2"/>
        <scheme val="minor"/>
      </font>
      <numFmt numFmtId="2" formatCode="0.00"/>
      <border diagonalUp="0" diagonalDown="0" outline="0">
        <left style="thin">
          <color indexed="64"/>
        </left>
        <right style="thin">
          <color indexed="64"/>
        </right>
        <top style="thin">
          <color indexed="64"/>
        </top>
        <bottom style="thin">
          <color indexed="64"/>
        </bottom>
      </border>
    </dxf>
    <dxf>
      <font>
        <b val="0"/>
        <strike val="0"/>
        <outline val="0"/>
        <shadow val="0"/>
        <u val="none"/>
        <vertAlign val="baseline"/>
        <sz val="14"/>
        <color theme="1"/>
        <name val="Calibri"/>
        <family val="2"/>
        <scheme val="minor"/>
      </font>
      <numFmt numFmtId="2" formatCode="0.00"/>
      <border diagonalUp="0" diagonalDown="0" outline="0">
        <left style="thin">
          <color indexed="64"/>
        </left>
        <right style="thin">
          <color indexed="64"/>
        </right>
        <top style="thin">
          <color indexed="64"/>
        </top>
        <bottom style="thin">
          <color indexed="64"/>
        </bottom>
      </border>
    </dxf>
    <dxf>
      <font>
        <b val="0"/>
        <strike val="0"/>
        <outline val="0"/>
        <shadow val="0"/>
        <u val="none"/>
        <vertAlign val="baseline"/>
        <sz val="14"/>
        <color theme="1"/>
        <name val="Calibri"/>
        <family val="2"/>
        <scheme val="minor"/>
      </font>
      <numFmt numFmtId="2" formatCode="0.00"/>
      <alignment horizont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strike val="0"/>
        <outline val="0"/>
        <shadow val="0"/>
        <u val="none"/>
        <vertAlign val="baseline"/>
        <sz val="14"/>
        <color theme="1"/>
        <name val="Calibri"/>
        <family val="2"/>
        <scheme val="minor"/>
      </font>
      <numFmt numFmtId="14" formatCode="0.00%"/>
      <alignment horizontal="center" vertical="bottom" textRotation="0" wrapText="0" indent="0" justifyLastLine="0" shrinkToFit="0" readingOrder="0"/>
      <border diagonalUp="0" diagonalDown="0" outline="0">
        <left style="thin">
          <color auto="1"/>
        </left>
        <right style="thin">
          <color auto="1"/>
        </right>
        <top style="thin">
          <color auto="1"/>
        </top>
        <bottom style="thin">
          <color auto="1"/>
        </bottom>
      </border>
    </dxf>
    <dxf>
      <font>
        <b val="0"/>
        <strike val="0"/>
        <outline val="0"/>
        <shadow val="0"/>
        <u val="none"/>
        <vertAlign val="baseline"/>
        <sz val="14"/>
        <color theme="1"/>
        <name val="Calibri"/>
        <family val="2"/>
        <scheme val="minor"/>
      </font>
      <numFmt numFmtId="14" formatCode="0.00%"/>
      <alignment horizontal="center" vertical="bottom" textRotation="0" wrapText="0" indent="0" justifyLastLine="0" shrinkToFit="0" readingOrder="0"/>
      <border diagonalUp="0" diagonalDown="0" outline="0">
        <left style="thin">
          <color auto="1"/>
        </left>
        <right style="thin">
          <color auto="1"/>
        </right>
        <top style="thin">
          <color auto="1"/>
        </top>
        <bottom style="thin">
          <color auto="1"/>
        </bottom>
      </border>
    </dxf>
    <dxf>
      <font>
        <b val="0"/>
        <strike val="0"/>
        <outline val="0"/>
        <shadow val="0"/>
        <u val="none"/>
        <vertAlign val="baseline"/>
        <sz val="14"/>
        <color theme="1"/>
        <name val="Calibri"/>
        <family val="2"/>
        <scheme val="minor"/>
      </font>
      <numFmt numFmtId="14" formatCode="0.00%"/>
      <alignment horizont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4"/>
        <color theme="1"/>
        <name val="Calibri"/>
        <family val="2"/>
        <scheme val="minor"/>
      </font>
      <numFmt numFmtId="2" formatCode="0.00"/>
      <alignment horizontal="center" vertical="bottom" textRotation="0" wrapText="0" indent="0" justifyLastLine="0" shrinkToFit="0" readingOrder="0"/>
      <border diagonalUp="0" diagonalDown="0" outline="0">
        <left style="thin">
          <color auto="1"/>
        </left>
        <right style="thin">
          <color auto="1"/>
        </right>
        <top style="thin">
          <color auto="1"/>
        </top>
        <bottom style="thin">
          <color auto="1"/>
        </bottom>
      </border>
    </dxf>
    <dxf>
      <font>
        <b val="0"/>
        <strike val="0"/>
        <outline val="0"/>
        <shadow val="0"/>
        <u val="none"/>
        <vertAlign val="baseline"/>
        <sz val="14"/>
        <color theme="1"/>
        <name val="Calibri"/>
        <family val="2"/>
        <scheme val="minor"/>
      </font>
      <numFmt numFmtId="2" formatCode="0.00"/>
      <alignment horizont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strike val="0"/>
        <outline val="0"/>
        <shadow val="0"/>
        <u val="none"/>
        <vertAlign val="baseline"/>
        <sz val="14"/>
        <color theme="1"/>
        <name val="Calibri"/>
        <family val="2"/>
        <scheme val="minor"/>
      </font>
      <numFmt numFmtId="2" formatCode="0.00"/>
      <alignment horizont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strike val="0"/>
        <outline val="0"/>
        <shadow val="0"/>
        <u val="none"/>
        <vertAlign val="baseline"/>
        <sz val="14"/>
        <color theme="1"/>
        <name val="Calibri"/>
        <family val="2"/>
        <scheme val="minor"/>
      </font>
      <numFmt numFmtId="0" formatCode="General"/>
      <alignment horizontal="center" vertical="center" textRotation="0" indent="0" justifyLastLine="0" shrinkToFit="0" readingOrder="0"/>
      <border diagonalUp="0" diagonalDown="0" outline="0">
        <left/>
        <right style="thin">
          <color indexed="64"/>
        </right>
        <top style="thin">
          <color indexed="64"/>
        </top>
        <bottom style="thin">
          <color indexed="64"/>
        </bottom>
      </border>
    </dxf>
    <dxf>
      <font>
        <b val="0"/>
        <strike val="0"/>
        <outline val="0"/>
        <shadow val="0"/>
        <u val="none"/>
        <vertAlign val="baseline"/>
        <sz val="14"/>
        <color theme="1"/>
        <name val="Calibri"/>
        <family val="2"/>
        <scheme val="minor"/>
      </font>
      <numFmt numFmtId="164" formatCode="&quot;₹&quot;\ #,##0"/>
      <alignment horizontal="center" textRotation="0" indent="0" justifyLastLine="0" shrinkToFit="0" readingOrder="0"/>
      <border diagonalUp="0" diagonalDown="0" outline="0">
        <left/>
        <right style="thin">
          <color indexed="64"/>
        </right>
        <top style="thin">
          <color indexed="64"/>
        </top>
        <bottom style="thin">
          <color indexed="64"/>
        </bottom>
      </border>
    </dxf>
    <dxf>
      <font>
        <b/>
        <strike val="0"/>
        <outline val="0"/>
        <shadow val="0"/>
        <u val="none"/>
        <vertAlign val="baseline"/>
        <sz val="14"/>
        <name val="Calibri"/>
        <family val="2"/>
        <scheme val="minor"/>
      </font>
      <alignment horizontal="center" vertical="center" textRotation="0" wrapText="1" indent="0" justifyLastLine="0" shrinkToFit="0" readingOrder="0"/>
      <border diagonalUp="0" diagonalDown="0" outline="0">
        <left/>
        <right/>
        <top style="thin">
          <color indexed="64"/>
        </top>
        <bottom style="thin">
          <color indexed="64"/>
        </bottom>
      </border>
    </dxf>
    <dxf>
      <border>
        <top style="thin">
          <color rgb="FF000000"/>
        </top>
      </border>
    </dxf>
    <dxf>
      <border diagonalUp="0" diagonalDown="0">
        <left style="thin">
          <color rgb="FF000000"/>
        </left>
        <right style="thin">
          <color rgb="FF000000"/>
        </right>
        <top style="thin">
          <color rgb="FF000000"/>
        </top>
        <bottom style="thin">
          <color rgb="FF000000"/>
        </bottom>
      </border>
    </dxf>
    <dxf>
      <font>
        <b val="0"/>
        <strike val="0"/>
        <outline val="0"/>
        <shadow val="0"/>
        <u val="none"/>
        <vertAlign val="baseline"/>
        <sz val="14"/>
        <name val="Calibri"/>
        <family val="2"/>
        <scheme val="none"/>
      </font>
    </dxf>
    <dxf>
      <border>
        <bottom style="thin">
          <color rgb="FF000000"/>
        </bottom>
      </border>
    </dxf>
    <dxf>
      <font>
        <b/>
        <strike val="0"/>
        <outline val="0"/>
        <shadow val="0"/>
        <u val="none"/>
        <vertAlign val="baseline"/>
        <sz val="11"/>
        <color theme="1"/>
        <name val="Calibri"/>
        <family val="2"/>
        <scheme val="minor"/>
      </font>
      <fill>
        <patternFill patternType="solid">
          <fgColor indexed="64"/>
          <bgColor theme="2" tint="-0.749992370372631"/>
        </patternFill>
      </fill>
      <alignment horizontal="center" vertical="center" textRotation="0" wrapText="1" indent="0" justifyLastLine="0" shrinkToFit="0" readingOrder="0"/>
      <border diagonalUp="0" diagonalDown="0" outline="0">
        <left style="thin">
          <color indexed="64"/>
        </left>
        <right style="thin">
          <color indexed="64"/>
        </right>
        <top/>
        <bottom/>
      </border>
    </dxf>
  </dxfs>
  <tableStyles count="0" defaultTableStyle="TableStyleMedium9" defaultPivotStyle="PivotStyleLight16"/>
  <colors>
    <mruColors>
      <color rgb="FFE7F3FF"/>
      <color rgb="FF003300"/>
      <color rgb="FFFDDFCB"/>
      <color rgb="FFDE5A00"/>
      <color rgb="FF660033"/>
      <color rgb="FF8C3230"/>
      <color rgb="FFC55A57"/>
      <color rgb="FF000066"/>
      <color rgb="FFFAD2D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2D42A5C-A236-4D1E-BE8C-67BA250A2810}" name="Table13" displayName="Table13" ref="A1:X97" totalsRowShown="0" headerRowDxfId="61" dataDxfId="59" headerRowBorderDxfId="60" tableBorderDxfId="58" totalsRowBorderDxfId="57">
  <autoFilter ref="A1:X97" xr:uid="{F9949CAD-54F3-4A2C-88AC-0EB46EDCE17A}"/>
  <tableColumns count="24">
    <tableColumn id="1" xr3:uid="{F3D0136A-3BC1-4CB5-9AD8-E29568D5DC7A}" name="Card Name / _x000a_Category" dataDxfId="56"/>
    <tableColumn id="3" xr3:uid="{E8C5EAB5-A88F-439A-B1D3-71E5137F9368}" name="Annual fee Incl GST (₹)" dataDxfId="55"/>
    <tableColumn id="4" xr3:uid="{DACB68DF-4366-4525-B174-0B066B0CD300}" name="Fee waiver condition (₹ Lakh)" dataDxfId="54"/>
    <tableColumn id="5" xr3:uid="{A93B07BF-B6F9-406C-8A3D-6FB2FAD8571D}" name="Base Reward rate (%)" dataDxfId="53"/>
    <tableColumn id="6" xr3:uid="{9E708154-0799-4BDC-B7CF-BAA0EBC03FAC}" name="Travel  (up to %)" dataDxfId="52"/>
    <tableColumn id="24" xr3:uid="{E25E2880-9FB1-4CB8-ADB5-A5E4B3BE9A9A}" name="Online shopping  (Specific platforms in %)" dataDxfId="51"/>
    <tableColumn id="7" xr3:uid="{887546FE-6509-46E5-9BD2-E0B2BEE8A5CD}" name="Online shopping  (up to)" dataDxfId="50"/>
    <tableColumn id="8" xr3:uid="{07085658-5241-42DD-8AD5-872850DF9FAE}" name=" Online Txns  (up to)" dataDxfId="49"/>
    <tableColumn id="9" xr3:uid="{AE5132F1-E5D0-4502-8C8A-7BAACD9C3AE2}" name="Offline Txns (up to)" dataDxfId="48"/>
    <tableColumn id="10" xr3:uid="{75A63CB7-1E80-49A0-857A-302CB3550C9E}" name="Utility Bill payments (up to %)" dataDxfId="47"/>
    <tableColumn id="11" xr3:uid="{A3404EDE-E277-4828-9C71-30A6F67801F3}" name="Govt services / TAX (up to %)" dataDxfId="46"/>
    <tableColumn id="12" xr3:uid="{CFDAD55B-3B94-452E-B54B-442E5B639087}" name="Rent (up to %)" dataDxfId="45"/>
    <tableColumn id="13" xr3:uid="{D2150777-5C08-4CE2-9D67-2F9DDEC9A8A2}" name="Wallet load (up to %)" dataDxfId="44"/>
    <tableColumn id="15" xr3:uid="{5748E622-E77A-4315-A475-4BDEAFDA2230}" name="Education (up to %)" dataDxfId="43"/>
    <tableColumn id="16" xr3:uid="{F1F5124A-5224-4A4E-86E6-E5745F0B78CE}" name="Insurance (up to %)" dataDxfId="42"/>
    <tableColumn id="17" xr3:uid="{7ACFEB7F-AA4A-4D21-930D-4FDA3FAC981B}" name="Jewellery (up to %)" dataDxfId="41"/>
    <tableColumn id="14" xr3:uid="{BE107D33-D44B-4AB9-BCC3-952EEE1EF02F}" name="Fuel (%)" dataDxfId="40"/>
    <tableColumn id="18" xr3:uid="{E72F7246-7B3E-4F5D-B20D-1EA88861042B}" name="Food &amp; Dining (%)" dataDxfId="39"/>
    <tableColumn id="20" xr3:uid="{7B7516BE-388F-47C2-A977-E74CF18FE1D9}" name="Grocery (Offline) (%)" dataDxfId="38"/>
    <tableColumn id="19" xr3:uid="{02FB1732-FB45-477D-8D47-03893BE5BAB1}" name="Grocery (Online) (%)" dataDxfId="37"/>
    <tableColumn id="21" xr3:uid="{2A2F78DD-F888-49FB-B67B-228634548358}" name="UPI" dataDxfId="36"/>
    <tableColumn id="22" xr3:uid="{CE8E7A45-1B96-44A5-8125-BB56BC2CDC41}" name="International Txns (Offline)" dataDxfId="35">
      <calculatedColumnFormula>(I2*100-X2)/100</calculatedColumnFormula>
    </tableColumn>
    <tableColumn id="2" xr3:uid="{AA466942-25B5-4EBB-A1FE-F036F5123C6F}" name="International Txns (Online %)" dataDxfId="34">
      <calculatedColumnFormula>H2*100-X2</calculatedColumnFormula>
    </tableColumn>
    <tableColumn id="23" xr3:uid="{09C36D4B-00DD-4340-9294-4C1E1C8EC514}" name="Forex Mark-up fee (%)" dataDxfId="33"/>
  </tableColumns>
  <tableStyleInfo name="TableStyleLight8"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9949CAD-54F3-4A2C-88AC-0EB46EDCE17A}" name="Table1" displayName="Table1" ref="A1:AB97" totalsRowShown="0" headerRowDxfId="32" dataDxfId="30" headerRowBorderDxfId="31" tableBorderDxfId="29" totalsRowBorderDxfId="28">
  <autoFilter ref="A1:AB97" xr:uid="{F9949CAD-54F3-4A2C-88AC-0EB46EDCE17A}"/>
  <tableColumns count="28">
    <tableColumn id="1" xr3:uid="{6B469162-CF6E-409D-8024-B5E0096999DF}" name="Card Name / _x000a_Category" dataDxfId="27"/>
    <tableColumn id="3" xr3:uid="{EF4B7DF3-7333-4378-8587-776EA3DF8091}" name="Annual fee Incl GST (₹)" dataDxfId="25"/>
    <tableColumn id="4" xr3:uid="{F3331067-D8DC-4250-9530-9B9E44885BEC}" name="Fee waiver condition (₹ Lakh)" dataDxfId="24"/>
    <tableColumn id="5" xr3:uid="{5C1347E1-9F3A-43B9-8F7B-01B5F633A0B2}" name="Base Reward rate (%)" dataDxfId="23"/>
    <tableColumn id="6" xr3:uid="{08FB4F35-446A-44E9-B52C-3AEA75F0CD14}" name="Travel  (up to %)" dataDxfId="22"/>
    <tableColumn id="24" xr3:uid="{A25803C6-25C8-4745-BA76-AFB216A4D89A}" name="Online shopping  (Specific platforms in %)" dataDxfId="21"/>
    <tableColumn id="7" xr3:uid="{1498B512-6D34-4CFA-BDEC-7F95A747159B}" name="Online shopping  (up to)" dataDxfId="20"/>
    <tableColumn id="8" xr3:uid="{C6B0AEF7-2648-41AD-967C-1C2B06275C77}" name=" Online Txns  (up to)" dataDxfId="19"/>
    <tableColumn id="9" xr3:uid="{5D91CB2F-A5B9-4494-A7BE-31D6F93F5273}" name="Offline Txns (up to)" dataDxfId="18"/>
    <tableColumn id="10" xr3:uid="{498FE339-DA8A-45CB-AE98-1FA31CD04E3A}" name="Utility Bill payments (up to %)" dataDxfId="17"/>
    <tableColumn id="11" xr3:uid="{5D78508B-8598-4481-8705-7F3B2CA6EBA1}" name="Govt services / TAX (up to %)" dataDxfId="16"/>
    <tableColumn id="12" xr3:uid="{FDDEDC96-8B1F-4928-AADD-571EC404979C}" name="Rent (up to %)" dataDxfId="15"/>
    <tableColumn id="13" xr3:uid="{9B7BFAE1-E754-4B85-A714-3B8B8F6CF167}" name="Wallet load (up to %)" dataDxfId="14"/>
    <tableColumn id="15" xr3:uid="{C91D71DB-B92A-4BA4-A486-83562C196370}" name="Education (up to %)" dataDxfId="13"/>
    <tableColumn id="16" xr3:uid="{E8AAD85C-1897-4978-A5D2-13C81EDF807F}" name="Insurance (up to %)" dataDxfId="12"/>
    <tableColumn id="17" xr3:uid="{76EBC5F2-F932-447B-95FC-AF97EA3B1A7C}" name="Jewellery (up to %)" dataDxfId="11"/>
    <tableColumn id="14" xr3:uid="{8FF27C9C-8889-4F7E-8815-C0C33EE753F0}" name="Fuel (%)" dataDxfId="10"/>
    <tableColumn id="18" xr3:uid="{37FC438A-4BC3-445B-A7E9-027E0682A471}" name="Food &amp; Dining (%)" dataDxfId="9"/>
    <tableColumn id="20" xr3:uid="{8C9B046B-3217-4E47-AD39-E9812A156FCA}" name="Grocery (Offline) (%)" dataDxfId="8"/>
    <tableColumn id="19" xr3:uid="{F31DB23A-347A-42F2-8206-AB1240DF322F}" name="Grocery (Online) (%)" dataDxfId="7"/>
    <tableColumn id="21" xr3:uid="{8D5E8E44-C16C-4AF8-89FE-BF22B549F2C9}" name="UPI" dataDxfId="6"/>
    <tableColumn id="22" xr3:uid="{E66B3C03-0C62-4B43-B261-9B416420B232}" name="International Txns (Offline)" dataDxfId="5">
      <calculatedColumnFormula>(I2*100-X2)/100</calculatedColumnFormula>
    </tableColumn>
    <tableColumn id="2" xr3:uid="{27552E55-BE5C-483A-8D22-15E88905C188}" name="International Txns (Online %)" dataDxfId="4">
      <calculatedColumnFormula>H2*100-X2</calculatedColumnFormula>
    </tableColumn>
    <tableColumn id="23" xr3:uid="{86BCA762-5A6D-41AF-82E7-B5C2E38979F6}" name="Forex Mark-up fee (%)" dataDxfId="3"/>
    <tableColumn id="26" xr3:uid="{B7836384-97B8-4189-BD96-E6AA0F90F513}" name="Domestic Airport Lounge Access per Qtr" dataDxfId="2"/>
    <tableColumn id="27" xr3:uid="{AA579A65-E1E8-4CD1-8BF9-6F94CE2DF971}" name="International Airport Lounge Access per Yr" dataDxfId="1"/>
    <tableColumn id="28" xr3:uid="{BA9E8388-8F7E-4957-B1A8-FBCEF10AFEA3}" name="Railway Lounge Access per Qtr" dataDxfId="0"/>
    <tableColumn id="30" xr3:uid="{DF3B8B04-A594-43B3-A723-012278B5076B}" name="Spends Required?" dataDxfId="26"/>
  </tableColumns>
  <tableStyleInfo name="TableStyleLight8"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6" Type="http://schemas.openxmlformats.org/officeDocument/2006/relationships/hyperlink" Target="https://www.bobcard.co.in/credit-card-types/premier" TargetMode="External"/><Relationship Id="rId21" Type="http://schemas.openxmlformats.org/officeDocument/2006/relationships/hyperlink" Target="https://www.idfcfirstbank.com/credit-card/wow" TargetMode="External"/><Relationship Id="rId42" Type="http://schemas.openxmlformats.org/officeDocument/2006/relationships/hyperlink" Target="https://www.hdfcbank.com/personal/pay/cards/credit-cards/infinia-credit-card" TargetMode="External"/><Relationship Id="rId47" Type="http://schemas.openxmlformats.org/officeDocument/2006/relationships/hyperlink" Target="https://www.hdfcbank.com/personal/pay/cards/credit-cards/moneyback-plus" TargetMode="External"/><Relationship Id="rId63" Type="http://schemas.openxmlformats.org/officeDocument/2006/relationships/hyperlink" Target="https://www.aubank.in/personal-banking/credit-cards/ixigo-au-travel-credit-card" TargetMode="External"/><Relationship Id="rId68" Type="http://schemas.openxmlformats.org/officeDocument/2006/relationships/hyperlink" Target="https://www.axisbank.com/docs/default-source/default-document-library/credit-cards/terms-and-conditions-flipkart-axis-bank-credit-card.pdf" TargetMode="External"/><Relationship Id="rId84" Type="http://schemas.openxmlformats.org/officeDocument/2006/relationships/hyperlink" Target="https://www.federalbank.co.in/visa-signet-credit-card" TargetMode="External"/><Relationship Id="rId89" Type="http://schemas.openxmlformats.org/officeDocument/2006/relationships/hyperlink" Target="https://jupiter.money/edge-upi-rupay-credit-card/" TargetMode="External"/><Relationship Id="rId16" Type="http://schemas.openxmlformats.org/officeDocument/2006/relationships/hyperlink" Target="https://www.idfcfirstbank.com/credit-card/wealth?utm_source=website&amp;utm_medium=wealth_productpage&amp;utm_campaign=formfield_september2024" TargetMode="External"/><Relationship Id="rId107" Type="http://schemas.openxmlformats.org/officeDocument/2006/relationships/hyperlink" Target="https://www.indusind.com/in/en/personal/cards/credit-card/platinum-rupay-credit-card.html?utm_source=Google_Organic_Search" TargetMode="External"/><Relationship Id="rId11" Type="http://schemas.openxmlformats.org/officeDocument/2006/relationships/hyperlink" Target="https://www.sbicard.com/en/personal/credit-cards/lifestyle/sbi-card-pulse.page" TargetMode="External"/><Relationship Id="rId32" Type="http://schemas.openxmlformats.org/officeDocument/2006/relationships/hyperlink" Target="https://www.sbicard.com/en/personal/credit-cards/travel/bpcl-sbi-card-octane.page" TargetMode="External"/><Relationship Id="rId37" Type="http://schemas.openxmlformats.org/officeDocument/2006/relationships/hyperlink" Target="https://www.sc.com/in/credit-cards/ultimate-card/?pid=cc_ultimatecard_cclp&amp;cid=cc_ultimatecard_cclp" TargetMode="External"/><Relationship Id="rId53" Type="http://schemas.openxmlformats.org/officeDocument/2006/relationships/hyperlink" Target="https://www.hdfcbank.com/personal/pay/cards/credit-cards/swiggy-hdfc-bank-credit-card" TargetMode="External"/><Relationship Id="rId58" Type="http://schemas.openxmlformats.org/officeDocument/2006/relationships/hyperlink" Target="https://www.hdfcbank.com/personal/pay/cards/credit-cards/pixel-play-credit-card" TargetMode="External"/><Relationship Id="rId74" Type="http://schemas.openxmlformats.org/officeDocument/2006/relationships/hyperlink" Target="https://www.axisbank.com/docs/default-source/default-document-library/credit-cards/terms-and-conditions-of-features-of-axis-bank-atlas-credit-card.pdf?" TargetMode="External"/><Relationship Id="rId79" Type="http://schemas.openxmlformats.org/officeDocument/2006/relationships/hyperlink" Target="https://www.axisbank.com/docs/default-source/default-document-library/credit-cards/terms-and-conditions-for-accelerated-35-edge-reward-points.pdf" TargetMode="External"/><Relationship Id="rId102" Type="http://schemas.openxmlformats.org/officeDocument/2006/relationships/hyperlink" Target="https://www.yesbank.in/personal-banking/yes-individual/cards/credit-cards/marquee-credit-card" TargetMode="External"/><Relationship Id="rId5" Type="http://schemas.openxmlformats.org/officeDocument/2006/relationships/hyperlink" Target="https://www.icicibank.com/personal-banking/cards/credit-card/amazon-pay-credit-card" TargetMode="External"/><Relationship Id="rId90" Type="http://schemas.openxmlformats.org/officeDocument/2006/relationships/hyperlink" Target="https://www.kotak.com/en/personal-banking/cards/credit-cards/myntra-kotak-credit-card.html" TargetMode="External"/><Relationship Id="rId95" Type="http://schemas.openxmlformats.org/officeDocument/2006/relationships/hyperlink" Target="https://www.rblbank.com/personal-banking/cards/credit-cards/indianoil-rbl-bank-xtra-credit-card/?tabName=welcome-benefits" TargetMode="External"/><Relationship Id="rId22" Type="http://schemas.openxmlformats.org/officeDocument/2006/relationships/hyperlink" Target="https://www.idfcfirstbank.com/credit-card/swyp-emi-credit-card" TargetMode="External"/><Relationship Id="rId27" Type="http://schemas.openxmlformats.org/officeDocument/2006/relationships/hyperlink" Target="https://www.bobcard.co.in/credit-card-types/hpcl-energie" TargetMode="External"/><Relationship Id="rId43" Type="http://schemas.openxmlformats.org/officeDocument/2006/relationships/hyperlink" Target="https://www.hdfcbank.com/personal/pay/cards/credit-cards/diners-club-black-metal-edition" TargetMode="External"/><Relationship Id="rId48" Type="http://schemas.openxmlformats.org/officeDocument/2006/relationships/hyperlink" Target="https://www.technofino.in/community/threads/hdfc-bank-credit-cards-huge-devaluation-effective-from-1st-august-2024-extra-fees-on-utility-education-payments.28196/" TargetMode="External"/><Relationship Id="rId64" Type="http://schemas.openxmlformats.org/officeDocument/2006/relationships/hyperlink" Target="https://www.aubank.in/personal-banking/credit-cards/altura-plus-credit-card" TargetMode="External"/><Relationship Id="rId69" Type="http://schemas.openxmlformats.org/officeDocument/2006/relationships/hyperlink" Target="https://www.axisbank.com/docs/default-source/default-document-library/cashback-tncs---final.pdf" TargetMode="External"/><Relationship Id="rId80" Type="http://schemas.openxmlformats.org/officeDocument/2006/relationships/hyperlink" Target="https://www.axisbank.com/docs/default-source/default-document-library/credit-cards/magnus-credit-card-terms-and-conditions.pdf" TargetMode="External"/><Relationship Id="rId85" Type="http://schemas.openxmlformats.org/officeDocument/2006/relationships/hyperlink" Target="https://www.federalbank.co.in/scapia" TargetMode="External"/><Relationship Id="rId12" Type="http://schemas.openxmlformats.org/officeDocument/2006/relationships/hyperlink" Target="https://www.sbicard.com/en/personal/credit-cards/lifestyle/sbi-card-elite.page" TargetMode="External"/><Relationship Id="rId17" Type="http://schemas.openxmlformats.org/officeDocument/2006/relationships/hyperlink" Target="https://www.idfcfirstbank.com/credit-card/select?utm_source=website&amp;utm_medium=select_productpage&amp;utm_campaign=formfield_september2024" TargetMode="External"/><Relationship Id="rId33" Type="http://schemas.openxmlformats.org/officeDocument/2006/relationships/hyperlink" Target="https://www.hsbc.co.in/credit-cards/products/travelone/" TargetMode="External"/><Relationship Id="rId38" Type="http://schemas.openxmlformats.org/officeDocument/2006/relationships/hyperlink" Target="https://www.sc.com/in/credit-cards/easemytrip-credit-card/?pid=cc_emtcard_cclp&amp;cid=cc_emtcard_cclp" TargetMode="External"/><Relationship Id="rId59" Type="http://schemas.openxmlformats.org/officeDocument/2006/relationships/hyperlink" Target="https://www.technofino.in/community/threads/hdfc-bank-credit-cards-huge-devaluation-effective-from-1st-august-2024-extra-fees-on-utility-education-payments.28196/" TargetMode="External"/><Relationship Id="rId103" Type="http://schemas.openxmlformats.org/officeDocument/2006/relationships/hyperlink" Target="https://www.yesbank.in/personal-banking/cards/credit-card/reserv-credit-card" TargetMode="External"/><Relationship Id="rId108" Type="http://schemas.openxmlformats.org/officeDocument/2006/relationships/hyperlink" Target="https://www.indusind.com/in/en/personal/cards/credit-card/eazydiner-credit-card.html?utm_source=Google_Organic_Search" TargetMode="External"/><Relationship Id="rId54" Type="http://schemas.openxmlformats.org/officeDocument/2006/relationships/hyperlink" Target="https://www.hdfcbank.com/personal/pay/cards/credit-cards/marriott-bonvoy-credit-card" TargetMode="External"/><Relationship Id="rId70" Type="http://schemas.openxmlformats.org/officeDocument/2006/relationships/hyperlink" Target="https://www.axisbank.com/docs/default-source/default-document-library/credit-card-member-agreement.pdf" TargetMode="External"/><Relationship Id="rId75" Type="http://schemas.openxmlformats.org/officeDocument/2006/relationships/hyperlink" Target="https://www.axisbank.com/docs/default-source/default-document-library/credit-cards/axis-bank-airtel-terms-and-conditions.pdf" TargetMode="External"/><Relationship Id="rId91" Type="http://schemas.openxmlformats.org/officeDocument/2006/relationships/hyperlink" Target="https://www.kotak.com/en/personal-banking/cards/credit-cards/ka-ching-6e-xl-reward-kotak-credit-card/features.html" TargetMode="External"/><Relationship Id="rId96" Type="http://schemas.openxmlformats.org/officeDocument/2006/relationships/hyperlink" Target="https://www.rblbank.com/personal-banking/cards/credit-cards/world-safari-credit-card" TargetMode="External"/><Relationship Id="rId1" Type="http://schemas.openxmlformats.org/officeDocument/2006/relationships/hyperlink" Target="https://www.americanexpress.com/in/credit-cards/membership-rewards-card/?linknav=in-amex-cardshop-details-browse-AmericanExpressMembershipRewards&amp;cpid=500006529" TargetMode="External"/><Relationship Id="rId6" Type="http://schemas.openxmlformats.org/officeDocument/2006/relationships/hyperlink" Target="https://www.icicibank.com/personal-banking/cards/credit-card/coral-credit-card/benefits" TargetMode="External"/><Relationship Id="rId15" Type="http://schemas.openxmlformats.org/officeDocument/2006/relationships/hyperlink" Target="https://www.idfcfirstbank.com/credit-card/metal-credit-card/ashva" TargetMode="External"/><Relationship Id="rId23" Type="http://schemas.openxmlformats.org/officeDocument/2006/relationships/hyperlink" Target="https://www.idfcfirstbank.com/credit-card/hpcl-power-fuel-credit-card" TargetMode="External"/><Relationship Id="rId28" Type="http://schemas.openxmlformats.org/officeDocument/2006/relationships/hyperlink" Target="https://www.bobcard.co.in/credit-card-types/select" TargetMode="External"/><Relationship Id="rId36" Type="http://schemas.openxmlformats.org/officeDocument/2006/relationships/hyperlink" Target="https://www.hsbc.co.in/credit-cards/products/visa-platinum/" TargetMode="External"/><Relationship Id="rId49" Type="http://schemas.openxmlformats.org/officeDocument/2006/relationships/hyperlink" Target="https://www.hdfcbank.com/personal/pay/cards/credit-cards/tata-neu-infinity-hdfc-bank-credit-card" TargetMode="External"/><Relationship Id="rId57" Type="http://schemas.openxmlformats.org/officeDocument/2006/relationships/hyperlink" Target="https://www.hdfcbank.com/personal/pay/cards/business-credit-cards/biz-black" TargetMode="External"/><Relationship Id="rId106" Type="http://schemas.openxmlformats.org/officeDocument/2006/relationships/hyperlink" Target="https://www.yesbank.in/business-banking/cards/credit-cards/yes-first-business-card" TargetMode="External"/><Relationship Id="rId10" Type="http://schemas.openxmlformats.org/officeDocument/2006/relationships/hyperlink" Target="https://www.sbicard.com/en/personal/credit-cards/travel/air-india-sbi-signature-card.page" TargetMode="External"/><Relationship Id="rId31" Type="http://schemas.openxmlformats.org/officeDocument/2006/relationships/hyperlink" Target="https://www.technofino.in/community/threads/bob-cards-devaluation-alert-golf-discontinued-wallet-loading-1-charges-utility-1-charges.35677/" TargetMode="External"/><Relationship Id="rId44" Type="http://schemas.openxmlformats.org/officeDocument/2006/relationships/hyperlink" Target="https://www.hdfcbank.com/personal/pay/cards/credit-cards/regalia-gold-credit-card" TargetMode="External"/><Relationship Id="rId52" Type="http://schemas.openxmlformats.org/officeDocument/2006/relationships/hyperlink" Target="https://www.hdfcbank.com/personal/pay/cards/credit-cards/tata-neu-plus-hdfc-bank-credit-card" TargetMode="External"/><Relationship Id="rId60" Type="http://schemas.openxmlformats.org/officeDocument/2006/relationships/hyperlink" Target="https://www.technofino.in/community/threads/hdfc-bank-credit-cards-huge-devaluation-effective-from-1st-august-2024-extra-fees-on-utility-education-payments.28196/" TargetMode="External"/><Relationship Id="rId65" Type="http://schemas.openxmlformats.org/officeDocument/2006/relationships/hyperlink" Target="https://www.aubank.in/personal-banking/credit-cards/lit-credit-card" TargetMode="External"/><Relationship Id="rId73" Type="http://schemas.openxmlformats.org/officeDocument/2006/relationships/hyperlink" Target="https://www.axisbank.com/docs/default-source/default-document-library/credit-cards/terms-and-conditions-atlas-credit-card.pdf" TargetMode="External"/><Relationship Id="rId78" Type="http://schemas.openxmlformats.org/officeDocument/2006/relationships/hyperlink" Target="https://www.axisbank.com/docs/default-source/default-document-library/axis-bank-ace-credit-card-tncs.pdf" TargetMode="External"/><Relationship Id="rId81" Type="http://schemas.openxmlformats.org/officeDocument/2006/relationships/hyperlink" Target="https://www.axisbank.com/docs/default-source/default-document-library/credit-cards/terms-and-conditions-for-horizon-credit-card.pdf" TargetMode="External"/><Relationship Id="rId86" Type="http://schemas.openxmlformats.org/officeDocument/2006/relationships/hyperlink" Target="https://www.getonecard.app/" TargetMode="External"/><Relationship Id="rId94" Type="http://schemas.openxmlformats.org/officeDocument/2006/relationships/hyperlink" Target="https://www.kotak.com/en/personal-banking/cards/credit-cards/zen-signature-credit-card/features.html" TargetMode="External"/><Relationship Id="rId99" Type="http://schemas.openxmlformats.org/officeDocument/2006/relationships/hyperlink" Target="https://www.kotak.com/en/personal-banking/cards/credit-cards/privy-league-signature-credit-card.html" TargetMode="External"/><Relationship Id="rId101" Type="http://schemas.openxmlformats.org/officeDocument/2006/relationships/hyperlink" Target="https://www.kotak.com/en/personal-banking/cards/credit-cards/white-credit-card.html" TargetMode="External"/><Relationship Id="rId4" Type="http://schemas.openxmlformats.org/officeDocument/2006/relationships/hyperlink" Target="https://www.technofino.in/community/threads/icici-bank-credit-cards-huge-devaluation-effective-from-15th-november-2024.33014/" TargetMode="External"/><Relationship Id="rId9" Type="http://schemas.openxmlformats.org/officeDocument/2006/relationships/hyperlink" Target="https://www.sbicard.com/en/personal/credit-cards/shopping/simplysave-sbi-card.page" TargetMode="External"/><Relationship Id="rId13" Type="http://schemas.openxmlformats.org/officeDocument/2006/relationships/hyperlink" Target="https://www.sbicard.com/en/customer-notices.page" TargetMode="External"/><Relationship Id="rId18" Type="http://schemas.openxmlformats.org/officeDocument/2006/relationships/hyperlink" Target="https://www.idfcfirstbank.com/content/dam/idfcfirstbank/pdf/credit-card/MITC-Document-Customer.pdf" TargetMode="External"/><Relationship Id="rId39" Type="http://schemas.openxmlformats.org/officeDocument/2006/relationships/hyperlink" Target="https://www.sc.com/in/credit-cards/smart-credit-card/?pid=cc_smartcard_cclp&amp;cid=cc_smartcard_cclp" TargetMode="External"/><Relationship Id="rId109" Type="http://schemas.openxmlformats.org/officeDocument/2006/relationships/hyperlink" Target="https://www.indusind.com/in/en/personal/cards/credit-card/pinnacle-world-credit-card.html?utm_source=Google_Organic_Search" TargetMode="External"/><Relationship Id="rId34" Type="http://schemas.openxmlformats.org/officeDocument/2006/relationships/hyperlink" Target="https://www.hsbc.co.in/credit-cards/products/live-plus/" TargetMode="External"/><Relationship Id="rId50" Type="http://schemas.openxmlformats.org/officeDocument/2006/relationships/hyperlink" Target="https://www.hdfcbank.com/personal/pay/cards/credit-cards/indianoil-hdfc-bank-credit-card" TargetMode="External"/><Relationship Id="rId55" Type="http://schemas.openxmlformats.org/officeDocument/2006/relationships/hyperlink" Target="https://www.hdfcbank.com/personal/pay/cards/credit-cards/irctc-credit-card" TargetMode="External"/><Relationship Id="rId76" Type="http://schemas.openxmlformats.org/officeDocument/2006/relationships/hyperlink" Target="https://www.axisbank.com/docs/default-source/default-document-library/credit-cards/terms-and-conditions-for-cashback-for-airtel-axis-bank-credit-card.pdf" TargetMode="External"/><Relationship Id="rId97" Type="http://schemas.openxmlformats.org/officeDocument/2006/relationships/hyperlink" Target="https://www.rblbank.com/personal-banking/cards/credit-cards/shoprite-credit-card/?tabName=welcome-benefits" TargetMode="External"/><Relationship Id="rId104" Type="http://schemas.openxmlformats.org/officeDocument/2006/relationships/hyperlink" Target="https://www.yesbank.in/personal-banking/yes-individual/cards/credit-cards/elite-plus-credit-card" TargetMode="External"/><Relationship Id="rId7" Type="http://schemas.openxmlformats.org/officeDocument/2006/relationships/hyperlink" Target="https://www.sbicard.com/en/personal/credit-cards/rewards/cashback-sbi-card.page" TargetMode="External"/><Relationship Id="rId71" Type="http://schemas.openxmlformats.org/officeDocument/2006/relationships/hyperlink" Target="https://www.axisbank.com/docs/default-source/default-document-library/credit-card-member-agreement.pdf" TargetMode="External"/><Relationship Id="rId92" Type="http://schemas.openxmlformats.org/officeDocument/2006/relationships/hyperlink" Target="https://www.kotak.com/en/personal-banking/cards/credit-cards/indian-oil-credit-card/features.html" TargetMode="External"/><Relationship Id="rId2" Type="http://schemas.openxmlformats.org/officeDocument/2006/relationships/hyperlink" Target="https://www.americanexpress.com/in/credit-cards/platinum-travel-credit-card/?linknav=in-amex-cardshop-details-browse-AmericanExpressPlatinumTravel&amp;cpid=500006529" TargetMode="External"/><Relationship Id="rId29" Type="http://schemas.openxmlformats.org/officeDocument/2006/relationships/hyperlink" Target="https://www.bobcard.co.in/credit-card-types/select" TargetMode="External"/><Relationship Id="rId24" Type="http://schemas.openxmlformats.org/officeDocument/2006/relationships/hyperlink" Target="https://www.bobcard.co.in/credit-card-types/eterna" TargetMode="External"/><Relationship Id="rId40" Type="http://schemas.openxmlformats.org/officeDocument/2006/relationships/hyperlink" Target="https://www.sc.com/in/credit-cards/rewards-credit-card/?pid=cc_rewardscard_cclp&amp;cid=cc_rewardscard_cclp" TargetMode="External"/><Relationship Id="rId45" Type="http://schemas.openxmlformats.org/officeDocument/2006/relationships/hyperlink" Target="https://www.hdfcbank.com/personal/pay/cards/credit-cards/diners-privilege" TargetMode="External"/><Relationship Id="rId66" Type="http://schemas.openxmlformats.org/officeDocument/2006/relationships/hyperlink" Target="https://www.aubank.in/personal-banking/credit-cards/vetta-credit-card" TargetMode="External"/><Relationship Id="rId87" Type="http://schemas.openxmlformats.org/officeDocument/2006/relationships/hyperlink" Target="https://cardmaven.in/forum/threads/onecard-5x-rewards-program-devaluation-from-6-jan-2025.788/" TargetMode="External"/><Relationship Id="rId110" Type="http://schemas.openxmlformats.org/officeDocument/2006/relationships/hyperlink" Target="https://www.indusind.com/in/en/personal/cards/credit-card/tiger-credit-card.html?utm_source=Google_Organic_Search" TargetMode="External"/><Relationship Id="rId61" Type="http://schemas.openxmlformats.org/officeDocument/2006/relationships/hyperlink" Target="https://www.aubank.in/tnc/2024/revision-of-au-credit-card-usage-tnc-revision-of-usage-terms-and-conditions_jan_25.pdf" TargetMode="External"/><Relationship Id="rId82" Type="http://schemas.openxmlformats.org/officeDocument/2006/relationships/hyperlink" Target="https://www.federalbank.co.in/visa-celesta-credit-card" TargetMode="External"/><Relationship Id="rId19" Type="http://schemas.openxmlformats.org/officeDocument/2006/relationships/hyperlink" Target="https://www.idfcfirstbank.com/credit-card/classic?utm_source=website&amp;utm_medium=classic_productpage&amp;utm_campaign=formfield_september2024" TargetMode="External"/><Relationship Id="rId14" Type="http://schemas.openxmlformats.org/officeDocument/2006/relationships/hyperlink" Target="https://www.idfcfirstbank.com/credit-card/metal-credit-card/mayura" TargetMode="External"/><Relationship Id="rId30" Type="http://schemas.openxmlformats.org/officeDocument/2006/relationships/hyperlink" Target="https://www.bobcard.co.in/credit-card-types/easy" TargetMode="External"/><Relationship Id="rId35" Type="http://schemas.openxmlformats.org/officeDocument/2006/relationships/hyperlink" Target="https://www.hsbc.co.in/credit-cards/products/premier/" TargetMode="External"/><Relationship Id="rId56" Type="http://schemas.openxmlformats.org/officeDocument/2006/relationships/hyperlink" Target="https://www.hdfcbank.com/personal/pay/cards/credit-cards/6e-rewards-xl-indigo-hdfc-bank-credit-card" TargetMode="External"/><Relationship Id="rId77" Type="http://schemas.openxmlformats.org/officeDocument/2006/relationships/hyperlink" Target="https://www.axisbank.com/docs/default-source/default-document-library/credit-cards/terms-and-conditions-axis-bank-ace-credit-card.pdf" TargetMode="External"/><Relationship Id="rId100" Type="http://schemas.openxmlformats.org/officeDocument/2006/relationships/hyperlink" Target="https://www.kotak.com/en/personal-banking/cards/credit-cards/white-reserve-credit-card/fees-and-charges.html" TargetMode="External"/><Relationship Id="rId105" Type="http://schemas.openxmlformats.org/officeDocument/2006/relationships/hyperlink" Target="https://www.yesbank.in/personal-banking/yes-individual/cards/credit-cards/ace-credit-card" TargetMode="External"/><Relationship Id="rId8" Type="http://schemas.openxmlformats.org/officeDocument/2006/relationships/hyperlink" Target="https://www.sbicard.com/en/personal/credit-cards/shopping/simplyclick-sbi-card.page" TargetMode="External"/><Relationship Id="rId51" Type="http://schemas.openxmlformats.org/officeDocument/2006/relationships/hyperlink" Target="https://www.hdfcbank.com/personal/pay/cards/credit-cards/hdfc-bank-upi-rupay-credit-card" TargetMode="External"/><Relationship Id="rId72" Type="http://schemas.openxmlformats.org/officeDocument/2006/relationships/hyperlink" Target="https://www.axisbank.com/docs/default-source/ld/terms-and-conditions-for-indianoil-axis-bank-premium-credit-card-(1).pdf" TargetMode="External"/><Relationship Id="rId93" Type="http://schemas.openxmlformats.org/officeDocument/2006/relationships/hyperlink" Target="https://www.kotak.com/en/personal-banking/cards/credit-cards/league-platinum-card/reward-redemption.html" TargetMode="External"/><Relationship Id="rId98" Type="http://schemas.openxmlformats.org/officeDocument/2006/relationships/hyperlink" Target="https://www.americanexpress.com/in/charge-cards/gold-card/?linknav=in-amex-cardshop-details-browse-AmericanExpressGold&amp;cpid=500006529" TargetMode="External"/><Relationship Id="rId3" Type="http://schemas.openxmlformats.org/officeDocument/2006/relationships/hyperlink" Target="https://www.icicibank.com/content/dam/icicibank/india/managed-assets/revamp-pages/emeralde-private-metal-credit-card/mitc-cc-17-oct.pdf" TargetMode="External"/><Relationship Id="rId25" Type="http://schemas.openxmlformats.org/officeDocument/2006/relationships/hyperlink" Target="https://www.bobcard.co.in/credit-card-types/tiara" TargetMode="External"/><Relationship Id="rId46" Type="http://schemas.openxmlformats.org/officeDocument/2006/relationships/hyperlink" Target="https://www.hdfcbank.com/personal/pay/cards/millennia-cards/millennia-cc-new" TargetMode="External"/><Relationship Id="rId67" Type="http://schemas.openxmlformats.org/officeDocument/2006/relationships/hyperlink" Target="https://www.aubank.in/premium-banking/credit-cards/zenith-plus-credit-card" TargetMode="External"/><Relationship Id="rId20" Type="http://schemas.openxmlformats.org/officeDocument/2006/relationships/hyperlink" Target="https://www.idfcfirstbank.com/credit-card/millennia?utm_source=website&amp;utm_medium=millennia_productpage&amp;utm_campaign=formfield_september2024" TargetMode="External"/><Relationship Id="rId41" Type="http://schemas.openxmlformats.org/officeDocument/2006/relationships/hyperlink" Target="https://www.sc.com/in/credit-cards/platinum-rewards/?pid=cc_platrewardscard_cclp&amp;cid=cc_platrewardscard_cclp" TargetMode="External"/><Relationship Id="rId62" Type="http://schemas.openxmlformats.org/officeDocument/2006/relationships/hyperlink" Target="https://www.aubank.in/blogs/all-about-zenith-credit-card-by-au-small-finance-bank" TargetMode="External"/><Relationship Id="rId83" Type="http://schemas.openxmlformats.org/officeDocument/2006/relationships/hyperlink" Target="https://www.federalbank.co.in/visa-imperio-credit-card" TargetMode="External"/><Relationship Id="rId88" Type="http://schemas.openxmlformats.org/officeDocument/2006/relationships/hyperlink" Target="https://gokiwi.in/?gad_source=1&amp;gclid=Cj0KCQiA-5a9BhCBARIsACwMkJ75G_Lx8EtA04EwluHOXFKa2x0Y03sxAvhUCDn9oxtjvDccFlMvak0aAg-EEALw_wcB" TargetMode="External"/><Relationship Id="rId11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7CBD72-48E0-4B5A-BE91-0196E0DF0C21}">
  <dimension ref="A1:Y97"/>
  <sheetViews>
    <sheetView zoomScale="69" zoomScaleNormal="115" workbookViewId="0">
      <pane xSplit="1" topLeftCell="E1" activePane="topRight" state="frozen"/>
      <selection pane="topRight" activeCell="H80" sqref="H80"/>
    </sheetView>
  </sheetViews>
  <sheetFormatPr defaultRowHeight="14.4" x14ac:dyDescent="0.3"/>
  <cols>
    <col min="1" max="1" width="33.5546875" style="120" customWidth="1"/>
    <col min="2" max="2" width="13.44140625" style="18" customWidth="1"/>
    <col min="3" max="3" width="10.6640625" style="5" customWidth="1"/>
    <col min="4" max="4" width="11.21875" style="83" customWidth="1"/>
    <col min="5" max="6" width="16.77734375" style="83" customWidth="1"/>
    <col min="7" max="7" width="9.77734375" style="87" customWidth="1"/>
    <col min="8" max="8" width="11.33203125" style="75" customWidth="1"/>
    <col min="9" max="9" width="12.33203125" style="75" customWidth="1"/>
    <col min="10" max="10" width="11.44140625" style="83" customWidth="1"/>
    <col min="11" max="11" width="10.33203125" style="80" customWidth="1"/>
    <col min="12" max="12" width="8.88671875" style="80" customWidth="1"/>
    <col min="13" max="13" width="10.88671875" style="80" customWidth="1"/>
    <col min="15" max="15" width="11.6640625" style="80" customWidth="1"/>
    <col min="16" max="16" width="11.21875" style="80" customWidth="1"/>
    <col min="17" max="17" width="10.88671875" style="80" customWidth="1"/>
    <col min="18" max="18" width="7.6640625" style="99" customWidth="1"/>
    <col min="19" max="19" width="10.88671875" style="80" customWidth="1"/>
    <col min="20" max="20" width="10.88671875" style="83" customWidth="1"/>
    <col min="21" max="21" width="10.88671875" style="75" customWidth="1"/>
    <col min="22" max="22" width="10.88671875" style="87" customWidth="1"/>
    <col min="23" max="24" width="13.33203125" style="89" customWidth="1"/>
    <col min="25" max="25" width="12.33203125" style="87" customWidth="1"/>
  </cols>
  <sheetData>
    <row r="1" spans="1:25" s="121" customFormat="1" ht="63.6" customHeight="1" x14ac:dyDescent="0.3">
      <c r="A1" s="122" t="s">
        <v>774</v>
      </c>
      <c r="B1" s="123" t="s">
        <v>838</v>
      </c>
      <c r="C1" s="124" t="s">
        <v>844</v>
      </c>
      <c r="D1" s="125" t="s">
        <v>839</v>
      </c>
      <c r="E1" s="125" t="s">
        <v>848</v>
      </c>
      <c r="F1" s="125" t="s">
        <v>860</v>
      </c>
      <c r="G1" s="126" t="s">
        <v>857</v>
      </c>
      <c r="H1" s="126" t="s">
        <v>859</v>
      </c>
      <c r="I1" s="126" t="s">
        <v>858</v>
      </c>
      <c r="J1" s="125" t="s">
        <v>849</v>
      </c>
      <c r="K1" s="125" t="s">
        <v>850</v>
      </c>
      <c r="L1" s="125" t="s">
        <v>851</v>
      </c>
      <c r="M1" s="125" t="s">
        <v>852</v>
      </c>
      <c r="N1" s="125" t="s">
        <v>853</v>
      </c>
      <c r="O1" s="125" t="s">
        <v>854</v>
      </c>
      <c r="P1" s="125" t="s">
        <v>855</v>
      </c>
      <c r="Q1" s="125" t="s">
        <v>840</v>
      </c>
      <c r="R1" s="127" t="s">
        <v>841</v>
      </c>
      <c r="S1" s="125" t="s">
        <v>846</v>
      </c>
      <c r="T1" s="125" t="s">
        <v>847</v>
      </c>
      <c r="U1" s="126" t="s">
        <v>5</v>
      </c>
      <c r="V1" s="125" t="s">
        <v>845</v>
      </c>
      <c r="W1" s="128" t="s">
        <v>861</v>
      </c>
      <c r="X1" s="128" t="s">
        <v>862</v>
      </c>
    </row>
    <row r="2" spans="1:25" s="3" customFormat="1" ht="19.95" customHeight="1" x14ac:dyDescent="0.35">
      <c r="A2" s="104" t="s">
        <v>11</v>
      </c>
      <c r="B2" s="72">
        <v>14750</v>
      </c>
      <c r="C2" s="76">
        <v>25</v>
      </c>
      <c r="D2" s="88">
        <v>4.8</v>
      </c>
      <c r="E2" s="103">
        <v>24</v>
      </c>
      <c r="F2" s="103">
        <v>0</v>
      </c>
      <c r="G2" s="155">
        <v>4.8000000000000001E-2</v>
      </c>
      <c r="H2" s="155">
        <v>4.8000000000000001E-2</v>
      </c>
      <c r="I2" s="155">
        <v>4.8000000000000001E-2</v>
      </c>
      <c r="J2" s="88">
        <v>0</v>
      </c>
      <c r="K2" s="88">
        <v>0</v>
      </c>
      <c r="L2" s="88">
        <v>0</v>
      </c>
      <c r="M2" s="88">
        <v>0</v>
      </c>
      <c r="N2" s="88">
        <v>4</v>
      </c>
      <c r="O2" s="88">
        <v>0</v>
      </c>
      <c r="P2" s="88">
        <v>0</v>
      </c>
      <c r="Q2" s="88">
        <v>0</v>
      </c>
      <c r="R2" s="156">
        <v>40</v>
      </c>
      <c r="S2" s="81">
        <v>4.8</v>
      </c>
      <c r="T2" s="81">
        <v>4.8</v>
      </c>
      <c r="U2" s="85">
        <v>0</v>
      </c>
      <c r="V2" s="91">
        <f t="shared" ref="V2:V65" si="0">(I2*100-X2)/100</f>
        <v>2.4399999999999998E-2</v>
      </c>
      <c r="W2" s="100">
        <f t="shared" ref="W2:W65" si="1">H2*100-X2</f>
        <v>2.44</v>
      </c>
      <c r="X2" s="90">
        <v>2.36</v>
      </c>
    </row>
    <row r="3" spans="1:25" s="3" customFormat="1" ht="19.95" customHeight="1" x14ac:dyDescent="0.35">
      <c r="A3" s="104" t="s">
        <v>16</v>
      </c>
      <c r="B3" s="73">
        <v>5900</v>
      </c>
      <c r="C3" s="77" t="s">
        <v>843</v>
      </c>
      <c r="D3" s="84">
        <v>2</v>
      </c>
      <c r="E3" s="103">
        <v>10</v>
      </c>
      <c r="F3" s="103">
        <v>0</v>
      </c>
      <c r="G3" s="157">
        <v>0.04</v>
      </c>
      <c r="H3" s="157">
        <v>0.04</v>
      </c>
      <c r="I3" s="157">
        <v>0.04</v>
      </c>
      <c r="J3" s="84">
        <v>0</v>
      </c>
      <c r="K3" s="88">
        <v>0</v>
      </c>
      <c r="L3" s="88">
        <v>0</v>
      </c>
      <c r="M3" s="88">
        <v>0</v>
      </c>
      <c r="N3" s="88">
        <v>4</v>
      </c>
      <c r="O3" s="88">
        <v>0</v>
      </c>
      <c r="P3" s="88">
        <v>0</v>
      </c>
      <c r="Q3" s="88">
        <v>0</v>
      </c>
      <c r="R3" s="158">
        <v>25</v>
      </c>
      <c r="S3" s="84">
        <v>4</v>
      </c>
      <c r="T3" s="84">
        <v>4</v>
      </c>
      <c r="U3" s="85">
        <v>0</v>
      </c>
      <c r="V3" s="91">
        <f t="shared" si="0"/>
        <v>-1.2999999999999989E-3</v>
      </c>
      <c r="W3" s="100">
        <f t="shared" si="1"/>
        <v>-0.12999999999999989</v>
      </c>
      <c r="X3" s="90">
        <v>4.13</v>
      </c>
    </row>
    <row r="4" spans="1:25" ht="19.95" customHeight="1" x14ac:dyDescent="0.35">
      <c r="A4" s="104" t="s">
        <v>15</v>
      </c>
      <c r="B4" s="73">
        <v>3540</v>
      </c>
      <c r="C4" s="77" t="s">
        <v>843</v>
      </c>
      <c r="D4" s="84">
        <v>2</v>
      </c>
      <c r="E4" s="103">
        <v>5</v>
      </c>
      <c r="F4" s="103">
        <v>0</v>
      </c>
      <c r="G4" s="157">
        <v>0.04</v>
      </c>
      <c r="H4" s="157">
        <v>0.04</v>
      </c>
      <c r="I4" s="157">
        <v>0.04</v>
      </c>
      <c r="J4" s="84">
        <v>0</v>
      </c>
      <c r="K4" s="88">
        <v>0</v>
      </c>
      <c r="L4" s="88">
        <v>0</v>
      </c>
      <c r="M4" s="88">
        <v>0</v>
      </c>
      <c r="N4" s="88">
        <v>0</v>
      </c>
      <c r="O4" s="88">
        <v>0</v>
      </c>
      <c r="P4" s="88">
        <v>4</v>
      </c>
      <c r="Q4" s="88">
        <v>0</v>
      </c>
      <c r="R4" s="158">
        <v>25</v>
      </c>
      <c r="S4" s="84">
        <v>4</v>
      </c>
      <c r="T4" s="84">
        <v>4</v>
      </c>
      <c r="U4" s="85">
        <v>0</v>
      </c>
      <c r="V4" s="91">
        <f t="shared" si="0"/>
        <v>-1.2999999999999989E-3</v>
      </c>
      <c r="W4" s="100">
        <f t="shared" si="1"/>
        <v>-0.12999999999999989</v>
      </c>
      <c r="X4" s="90">
        <v>4.13</v>
      </c>
      <c r="Y4"/>
    </row>
    <row r="5" spans="1:25" ht="19.95" customHeight="1" x14ac:dyDescent="0.35">
      <c r="A5" s="104" t="s">
        <v>775</v>
      </c>
      <c r="B5" s="74">
        <v>1180</v>
      </c>
      <c r="C5" s="78">
        <v>1</v>
      </c>
      <c r="D5" s="81">
        <v>0.67</v>
      </c>
      <c r="E5" s="103">
        <v>0.67</v>
      </c>
      <c r="F5" s="103">
        <v>0</v>
      </c>
      <c r="G5" s="96">
        <v>6.7000000000000002E-3</v>
      </c>
      <c r="H5" s="96">
        <v>6.7000000000000002E-3</v>
      </c>
      <c r="I5" s="96">
        <v>6.7000000000000002E-3</v>
      </c>
      <c r="J5" s="81">
        <v>0</v>
      </c>
      <c r="K5" s="88">
        <v>0</v>
      </c>
      <c r="L5" s="88">
        <v>0</v>
      </c>
      <c r="M5" s="88">
        <v>0</v>
      </c>
      <c r="N5" s="88">
        <v>0</v>
      </c>
      <c r="O5" s="88">
        <v>0</v>
      </c>
      <c r="P5" s="88">
        <v>0.67</v>
      </c>
      <c r="Q5" s="88">
        <v>4</v>
      </c>
      <c r="R5" s="97">
        <v>30</v>
      </c>
      <c r="S5" s="81">
        <v>1.35</v>
      </c>
      <c r="T5" s="81">
        <v>1.35</v>
      </c>
      <c r="U5" s="85">
        <v>0</v>
      </c>
      <c r="V5" s="91">
        <f t="shared" si="0"/>
        <v>-3.4599999999999999E-2</v>
      </c>
      <c r="W5" s="100">
        <f t="shared" si="1"/>
        <v>-3.46</v>
      </c>
      <c r="X5" s="90">
        <v>4.13</v>
      </c>
      <c r="Y5"/>
    </row>
    <row r="6" spans="1:25" ht="19.95" customHeight="1" x14ac:dyDescent="0.35">
      <c r="A6" s="104" t="s">
        <v>21</v>
      </c>
      <c r="B6" s="74">
        <v>590</v>
      </c>
      <c r="C6" s="78">
        <v>3.5</v>
      </c>
      <c r="D6" s="81">
        <v>1</v>
      </c>
      <c r="E6" s="103">
        <v>5</v>
      </c>
      <c r="F6" s="103">
        <v>5</v>
      </c>
      <c r="G6" s="85">
        <v>0.01</v>
      </c>
      <c r="H6" s="85">
        <v>0.01</v>
      </c>
      <c r="I6" s="85">
        <v>0.01</v>
      </c>
      <c r="J6" s="81">
        <v>0</v>
      </c>
      <c r="K6" s="88">
        <v>0</v>
      </c>
      <c r="L6" s="88">
        <v>0</v>
      </c>
      <c r="M6" s="88">
        <v>0</v>
      </c>
      <c r="N6" s="88">
        <v>0</v>
      </c>
      <c r="O6" s="88">
        <v>0</v>
      </c>
      <c r="P6" s="88">
        <v>0</v>
      </c>
      <c r="Q6" s="88">
        <v>0</v>
      </c>
      <c r="R6" s="97">
        <v>20</v>
      </c>
      <c r="S6" s="81">
        <v>1</v>
      </c>
      <c r="T6" s="81">
        <v>4</v>
      </c>
      <c r="U6" s="85">
        <v>0</v>
      </c>
      <c r="V6" s="91">
        <f t="shared" si="0"/>
        <v>-3.1300000000000001E-2</v>
      </c>
      <c r="W6" s="100">
        <f t="shared" si="1"/>
        <v>-3.13</v>
      </c>
      <c r="X6" s="90">
        <v>4.13</v>
      </c>
      <c r="Y6"/>
    </row>
    <row r="7" spans="1:25" ht="19.95" customHeight="1" x14ac:dyDescent="0.35">
      <c r="A7" s="104" t="s">
        <v>12</v>
      </c>
      <c r="B7" s="74">
        <v>590</v>
      </c>
      <c r="C7" s="78">
        <v>2</v>
      </c>
      <c r="D7" s="81">
        <v>1.5</v>
      </c>
      <c r="E7" s="103">
        <v>1.5</v>
      </c>
      <c r="F7" s="103">
        <v>0</v>
      </c>
      <c r="G7" s="85">
        <v>1.4999999999999999E-2</v>
      </c>
      <c r="H7" s="85">
        <v>1.4999999999999999E-2</v>
      </c>
      <c r="I7" s="85">
        <v>1.4999999999999999E-2</v>
      </c>
      <c r="J7" s="81">
        <v>3.82</v>
      </c>
      <c r="K7" s="88">
        <v>0</v>
      </c>
      <c r="L7" s="88">
        <v>0</v>
      </c>
      <c r="M7" s="88">
        <v>0</v>
      </c>
      <c r="N7" s="88">
        <v>0</v>
      </c>
      <c r="O7" s="88">
        <v>0</v>
      </c>
      <c r="P7" s="88">
        <v>0</v>
      </c>
      <c r="Q7" s="88">
        <v>0</v>
      </c>
      <c r="R7" s="97">
        <v>1.5</v>
      </c>
      <c r="S7" s="81">
        <v>1.5</v>
      </c>
      <c r="T7" s="81">
        <v>4</v>
      </c>
      <c r="U7" s="85">
        <v>0</v>
      </c>
      <c r="V7" s="91">
        <f t="shared" si="0"/>
        <v>-2.63E-2</v>
      </c>
      <c r="W7" s="100">
        <f t="shared" si="1"/>
        <v>-2.63</v>
      </c>
      <c r="X7" s="90">
        <v>4.13</v>
      </c>
      <c r="Y7"/>
    </row>
    <row r="8" spans="1:25" ht="19.95" customHeight="1" x14ac:dyDescent="0.35">
      <c r="A8" s="104" t="s">
        <v>13</v>
      </c>
      <c r="B8" s="74">
        <v>590</v>
      </c>
      <c r="C8" s="78">
        <v>2</v>
      </c>
      <c r="D8" s="81">
        <v>1</v>
      </c>
      <c r="E8" s="103">
        <v>1</v>
      </c>
      <c r="F8" s="103">
        <v>0</v>
      </c>
      <c r="G8" s="85">
        <v>0.01</v>
      </c>
      <c r="H8" s="85">
        <v>0.01</v>
      </c>
      <c r="I8" s="85">
        <v>0.01</v>
      </c>
      <c r="J8" s="81">
        <v>10</v>
      </c>
      <c r="K8" s="88">
        <v>0</v>
      </c>
      <c r="L8" s="88">
        <v>0</v>
      </c>
      <c r="M8" s="88">
        <v>0</v>
      </c>
      <c r="N8" s="88">
        <v>0</v>
      </c>
      <c r="O8" s="88">
        <v>0</v>
      </c>
      <c r="P8" s="88">
        <v>0</v>
      </c>
      <c r="Q8" s="88">
        <v>0</v>
      </c>
      <c r="R8" s="97">
        <v>10</v>
      </c>
      <c r="S8" s="81">
        <v>1</v>
      </c>
      <c r="T8" s="81">
        <v>10</v>
      </c>
      <c r="U8" s="85">
        <v>0.01</v>
      </c>
      <c r="V8" s="91">
        <f t="shared" si="0"/>
        <v>-3.1300000000000001E-2</v>
      </c>
      <c r="W8" s="100">
        <f t="shared" si="1"/>
        <v>-3.13</v>
      </c>
      <c r="X8" s="90">
        <v>4.13</v>
      </c>
      <c r="Y8"/>
    </row>
    <row r="9" spans="1:25" ht="19.95" customHeight="1" x14ac:dyDescent="0.35">
      <c r="A9" s="104" t="s">
        <v>17</v>
      </c>
      <c r="B9" s="74">
        <v>590</v>
      </c>
      <c r="C9" s="78" t="s">
        <v>843</v>
      </c>
      <c r="D9" s="81">
        <v>0.2</v>
      </c>
      <c r="E9" s="103">
        <v>0.2</v>
      </c>
      <c r="F9" s="103">
        <v>0</v>
      </c>
      <c r="G9" s="85">
        <v>2E-3</v>
      </c>
      <c r="H9" s="85">
        <v>2E-3</v>
      </c>
      <c r="I9" s="85">
        <v>2E-3</v>
      </c>
      <c r="J9" s="81">
        <v>0</v>
      </c>
      <c r="K9" s="88">
        <v>0</v>
      </c>
      <c r="L9" s="88">
        <v>0</v>
      </c>
      <c r="M9" s="88">
        <v>0</v>
      </c>
      <c r="N9" s="88">
        <v>0</v>
      </c>
      <c r="O9" s="88">
        <v>0</v>
      </c>
      <c r="P9" s="88">
        <v>0</v>
      </c>
      <c r="Q9" s="88">
        <v>0</v>
      </c>
      <c r="R9" s="97">
        <v>40</v>
      </c>
      <c r="S9" s="81">
        <v>0.4</v>
      </c>
      <c r="T9" s="81">
        <v>0.4</v>
      </c>
      <c r="U9" s="85">
        <v>2E-3</v>
      </c>
      <c r="V9" s="91">
        <f t="shared" si="0"/>
        <v>-3.9299999999999995E-2</v>
      </c>
      <c r="W9" s="100">
        <f t="shared" si="1"/>
        <v>-3.9299999999999997</v>
      </c>
      <c r="X9" s="90">
        <v>4.13</v>
      </c>
      <c r="Y9"/>
    </row>
    <row r="10" spans="1:25" ht="19.95" customHeight="1" x14ac:dyDescent="0.35">
      <c r="A10" s="104" t="s">
        <v>20</v>
      </c>
      <c r="B10" s="74">
        <v>0</v>
      </c>
      <c r="C10" s="78" t="s">
        <v>843</v>
      </c>
      <c r="D10" s="81">
        <v>0.1</v>
      </c>
      <c r="E10" s="103">
        <v>0.1</v>
      </c>
      <c r="F10" s="103">
        <v>0</v>
      </c>
      <c r="G10" s="85">
        <v>1E-3</v>
      </c>
      <c r="H10" s="85">
        <v>1E-3</v>
      </c>
      <c r="I10" s="85">
        <v>1E-3</v>
      </c>
      <c r="J10" s="81">
        <v>5</v>
      </c>
      <c r="K10" s="88">
        <v>0</v>
      </c>
      <c r="L10" s="88">
        <v>0</v>
      </c>
      <c r="M10" s="88">
        <v>0</v>
      </c>
      <c r="N10" s="88">
        <v>0</v>
      </c>
      <c r="O10" s="88">
        <v>0</v>
      </c>
      <c r="P10" s="88">
        <v>0</v>
      </c>
      <c r="Q10" s="88">
        <v>0</v>
      </c>
      <c r="R10" s="97">
        <v>40</v>
      </c>
      <c r="S10" s="81">
        <v>0.1</v>
      </c>
      <c r="T10" s="81">
        <v>0.1</v>
      </c>
      <c r="U10" s="85">
        <v>1E-3</v>
      </c>
      <c r="V10" s="91">
        <f t="shared" si="0"/>
        <v>-4.0300000000000002E-2</v>
      </c>
      <c r="W10" s="100">
        <f t="shared" si="1"/>
        <v>-4.03</v>
      </c>
      <c r="X10" s="90">
        <v>4.13</v>
      </c>
      <c r="Y10"/>
    </row>
    <row r="11" spans="1:25" ht="19.95" customHeight="1" x14ac:dyDescent="0.35">
      <c r="A11" s="105" t="s">
        <v>45</v>
      </c>
      <c r="B11" s="74">
        <v>5900</v>
      </c>
      <c r="C11" s="78">
        <v>8</v>
      </c>
      <c r="D11" s="81">
        <v>1</v>
      </c>
      <c r="E11" s="81">
        <v>2</v>
      </c>
      <c r="F11" s="81">
        <v>0</v>
      </c>
      <c r="G11" s="85">
        <v>0.01</v>
      </c>
      <c r="H11" s="85">
        <v>0.01</v>
      </c>
      <c r="I11" s="85">
        <v>0.01</v>
      </c>
      <c r="J11" s="81">
        <v>1</v>
      </c>
      <c r="K11" s="88">
        <v>0.5</v>
      </c>
      <c r="L11" s="88">
        <v>0</v>
      </c>
      <c r="M11" s="88">
        <v>0</v>
      </c>
      <c r="N11" s="88">
        <v>0.5</v>
      </c>
      <c r="O11" s="88">
        <v>0.5</v>
      </c>
      <c r="P11" s="88">
        <v>0.5</v>
      </c>
      <c r="Q11" s="88">
        <v>0</v>
      </c>
      <c r="R11" s="97">
        <v>2</v>
      </c>
      <c r="S11" s="81">
        <v>1</v>
      </c>
      <c r="T11" s="81">
        <v>1</v>
      </c>
      <c r="U11" s="85">
        <v>0</v>
      </c>
      <c r="V11" s="91">
        <v>8.3000000000000001E-3</v>
      </c>
      <c r="W11" s="100">
        <v>0.83</v>
      </c>
      <c r="X11" s="90">
        <v>1.17</v>
      </c>
      <c r="Y11"/>
    </row>
    <row r="12" spans="1:25" ht="19.95" customHeight="1" x14ac:dyDescent="0.35">
      <c r="A12" s="105" t="s">
        <v>50</v>
      </c>
      <c r="B12" s="74">
        <v>3540</v>
      </c>
      <c r="C12" s="78">
        <v>1.5</v>
      </c>
      <c r="D12" s="81">
        <v>0.5</v>
      </c>
      <c r="E12" s="81">
        <v>0.5</v>
      </c>
      <c r="F12" s="81">
        <v>0</v>
      </c>
      <c r="G12" s="85">
        <v>5.0000000000000001E-3</v>
      </c>
      <c r="H12" s="85">
        <v>5.0000000000000001E-3</v>
      </c>
      <c r="I12" s="85">
        <v>5.0000000000000001E-3</v>
      </c>
      <c r="J12" s="81">
        <v>2.5</v>
      </c>
      <c r="K12" s="88">
        <v>0.5</v>
      </c>
      <c r="L12" s="88">
        <v>0</v>
      </c>
      <c r="M12" s="88">
        <v>0</v>
      </c>
      <c r="N12" s="88">
        <v>0.5</v>
      </c>
      <c r="O12" s="88">
        <v>0.5</v>
      </c>
      <c r="P12" s="88">
        <v>0.5</v>
      </c>
      <c r="Q12" s="88">
        <v>0</v>
      </c>
      <c r="R12" s="97">
        <v>0.5</v>
      </c>
      <c r="S12" s="81">
        <v>1</v>
      </c>
      <c r="T12" s="81">
        <v>1</v>
      </c>
      <c r="U12" s="85">
        <v>0</v>
      </c>
      <c r="V12" s="91">
        <f t="shared" si="0"/>
        <v>-3.0200000000000001E-2</v>
      </c>
      <c r="W12" s="100">
        <f t="shared" si="1"/>
        <v>-3.02</v>
      </c>
      <c r="X12" s="90">
        <v>3.52</v>
      </c>
      <c r="Y12"/>
    </row>
    <row r="13" spans="1:25" ht="19.95" customHeight="1" x14ac:dyDescent="0.35">
      <c r="A13" s="105" t="s">
        <v>776</v>
      </c>
      <c r="B13" s="74">
        <v>590</v>
      </c>
      <c r="C13" s="78">
        <v>0.8</v>
      </c>
      <c r="D13" s="81">
        <v>0.5</v>
      </c>
      <c r="E13" s="81">
        <v>0.5</v>
      </c>
      <c r="F13" s="81">
        <v>0</v>
      </c>
      <c r="G13" s="85">
        <v>5.0000000000000001E-3</v>
      </c>
      <c r="H13" s="85">
        <v>5.0000000000000001E-3</v>
      </c>
      <c r="I13" s="85">
        <v>1.4999999999999999E-2</v>
      </c>
      <c r="J13" s="81">
        <v>0.5</v>
      </c>
      <c r="K13" s="88">
        <v>0.25</v>
      </c>
      <c r="L13" s="88">
        <v>0</v>
      </c>
      <c r="M13" s="88">
        <v>0</v>
      </c>
      <c r="N13" s="88">
        <v>0.25</v>
      </c>
      <c r="O13" s="88">
        <v>0.25</v>
      </c>
      <c r="P13" s="88">
        <v>0.25</v>
      </c>
      <c r="Q13" s="88">
        <v>0</v>
      </c>
      <c r="R13" s="97">
        <v>2.25</v>
      </c>
      <c r="S13" s="81">
        <v>1.3</v>
      </c>
      <c r="T13" s="81">
        <v>1.3</v>
      </c>
      <c r="U13" s="85">
        <v>0</v>
      </c>
      <c r="V13" s="91">
        <f t="shared" si="0"/>
        <v>-2.63E-2</v>
      </c>
      <c r="W13" s="100">
        <f t="shared" si="1"/>
        <v>-3.63</v>
      </c>
      <c r="X13" s="90">
        <v>4.13</v>
      </c>
      <c r="Y13"/>
    </row>
    <row r="14" spans="1:25" ht="19.95" customHeight="1" x14ac:dyDescent="0.35">
      <c r="A14" s="105" t="s">
        <v>131</v>
      </c>
      <c r="B14" s="74">
        <v>9440</v>
      </c>
      <c r="C14" s="78">
        <v>5</v>
      </c>
      <c r="D14" s="81">
        <v>1</v>
      </c>
      <c r="E14" s="81">
        <v>1.25</v>
      </c>
      <c r="F14" s="81">
        <v>0</v>
      </c>
      <c r="G14" s="85">
        <v>1.2500000000000001E-2</v>
      </c>
      <c r="H14" s="85">
        <v>1.2500000000000001E-2</v>
      </c>
      <c r="I14" s="85">
        <v>1.2500000000000001E-2</v>
      </c>
      <c r="J14" s="81">
        <v>1.25</v>
      </c>
      <c r="K14" s="88">
        <v>0.25</v>
      </c>
      <c r="L14" s="88">
        <v>0</v>
      </c>
      <c r="M14" s="88">
        <v>0</v>
      </c>
      <c r="N14" s="88">
        <v>0.25</v>
      </c>
      <c r="O14" s="88">
        <v>0.25</v>
      </c>
      <c r="P14" s="88">
        <v>0.25</v>
      </c>
      <c r="Q14" s="88">
        <v>0</v>
      </c>
      <c r="R14" s="97">
        <v>4</v>
      </c>
      <c r="S14" s="81">
        <v>2.5</v>
      </c>
      <c r="T14" s="81">
        <v>2.5</v>
      </c>
      <c r="U14" s="85">
        <v>0</v>
      </c>
      <c r="V14" s="91">
        <f t="shared" si="0"/>
        <v>-1.1000000000000001E-2</v>
      </c>
      <c r="W14" s="100">
        <f t="shared" si="1"/>
        <v>-1.1000000000000001</v>
      </c>
      <c r="X14" s="90">
        <v>2.35</v>
      </c>
      <c r="Y14"/>
    </row>
    <row r="15" spans="1:25" ht="19.95" customHeight="1" x14ac:dyDescent="0.35">
      <c r="A15" s="105" t="s">
        <v>777</v>
      </c>
      <c r="B15" s="74">
        <v>0</v>
      </c>
      <c r="C15" s="78" t="s">
        <v>843</v>
      </c>
      <c r="D15" s="81">
        <v>0.6</v>
      </c>
      <c r="E15" s="81">
        <v>10</v>
      </c>
      <c r="F15" s="81">
        <v>0</v>
      </c>
      <c r="G15" s="85">
        <v>1.2500000000000001E-2</v>
      </c>
      <c r="H15" s="85">
        <v>1.2500000000000001E-2</v>
      </c>
      <c r="I15" s="85">
        <v>6.3E-3</v>
      </c>
      <c r="J15" s="81">
        <v>1.25</v>
      </c>
      <c r="K15" s="88">
        <v>0</v>
      </c>
      <c r="L15" s="88">
        <v>0</v>
      </c>
      <c r="M15" s="88">
        <v>0</v>
      </c>
      <c r="N15" s="88">
        <v>0</v>
      </c>
      <c r="O15" s="88">
        <v>0</v>
      </c>
      <c r="P15" s="88">
        <v>0</v>
      </c>
      <c r="Q15" s="88">
        <v>0</v>
      </c>
      <c r="R15" s="97">
        <v>0.63</v>
      </c>
      <c r="S15" s="81">
        <v>1.25</v>
      </c>
      <c r="T15" s="81">
        <v>1.25</v>
      </c>
      <c r="U15" s="85">
        <v>6.3E-3</v>
      </c>
      <c r="V15" s="91">
        <f t="shared" si="0"/>
        <v>6.3E-3</v>
      </c>
      <c r="W15" s="100">
        <f t="shared" si="1"/>
        <v>1.25</v>
      </c>
      <c r="X15" s="90">
        <v>0</v>
      </c>
      <c r="Y15"/>
    </row>
    <row r="16" spans="1:25" ht="19.95" customHeight="1" x14ac:dyDescent="0.35">
      <c r="A16" s="105" t="s">
        <v>276</v>
      </c>
      <c r="B16" s="74">
        <v>354</v>
      </c>
      <c r="C16" s="78" t="s">
        <v>843</v>
      </c>
      <c r="D16" s="81">
        <v>1</v>
      </c>
      <c r="E16" s="81">
        <v>1</v>
      </c>
      <c r="F16" s="81">
        <v>0</v>
      </c>
      <c r="G16" s="85">
        <v>0.01</v>
      </c>
      <c r="H16" s="85">
        <v>0.01</v>
      </c>
      <c r="I16" s="85">
        <v>0.01</v>
      </c>
      <c r="J16" s="81">
        <v>1</v>
      </c>
      <c r="K16" s="88">
        <v>0</v>
      </c>
      <c r="L16" s="88">
        <v>0</v>
      </c>
      <c r="M16" s="88">
        <v>0</v>
      </c>
      <c r="N16" s="88">
        <v>0</v>
      </c>
      <c r="O16" s="88">
        <v>0</v>
      </c>
      <c r="P16" s="88">
        <v>0</v>
      </c>
      <c r="Q16" s="88">
        <v>0</v>
      </c>
      <c r="R16" s="97">
        <v>1</v>
      </c>
      <c r="S16" s="81">
        <v>1</v>
      </c>
      <c r="T16" s="81">
        <v>1</v>
      </c>
      <c r="U16" s="85">
        <v>0.01</v>
      </c>
      <c r="V16" s="91">
        <f t="shared" si="0"/>
        <v>-3.1300000000000001E-2</v>
      </c>
      <c r="W16" s="100">
        <f t="shared" si="1"/>
        <v>-3.13</v>
      </c>
      <c r="X16" s="90">
        <v>4.13</v>
      </c>
      <c r="Y16"/>
    </row>
    <row r="17" spans="1:25" ht="19.95" customHeight="1" x14ac:dyDescent="0.35">
      <c r="A17" s="105" t="s">
        <v>65</v>
      </c>
      <c r="B17" s="74">
        <v>0</v>
      </c>
      <c r="C17" s="78" t="s">
        <v>843</v>
      </c>
      <c r="D17" s="81">
        <v>0.5</v>
      </c>
      <c r="E17" s="81">
        <v>1</v>
      </c>
      <c r="F17" s="81">
        <v>0</v>
      </c>
      <c r="G17" s="85">
        <v>0.01</v>
      </c>
      <c r="H17" s="85">
        <v>0.01</v>
      </c>
      <c r="I17" s="85">
        <v>0.01</v>
      </c>
      <c r="J17" s="81">
        <v>1</v>
      </c>
      <c r="K17" s="88">
        <v>1</v>
      </c>
      <c r="L17" s="88">
        <v>1</v>
      </c>
      <c r="M17" s="88">
        <v>0</v>
      </c>
      <c r="N17" s="88">
        <v>1</v>
      </c>
      <c r="O17" s="88">
        <v>1</v>
      </c>
      <c r="P17" s="88">
        <v>1</v>
      </c>
      <c r="Q17" s="88">
        <v>0</v>
      </c>
      <c r="R17" s="97">
        <v>7.5</v>
      </c>
      <c r="S17" s="81">
        <v>7.5</v>
      </c>
      <c r="T17" s="81">
        <v>7.5</v>
      </c>
      <c r="U17" s="85">
        <v>0</v>
      </c>
      <c r="V17" s="91">
        <f t="shared" si="0"/>
        <v>-3.1300000000000001E-2</v>
      </c>
      <c r="W17" s="100">
        <f t="shared" si="1"/>
        <v>-3.13</v>
      </c>
      <c r="X17" s="90">
        <v>4.13</v>
      </c>
      <c r="Y17"/>
    </row>
    <row r="18" spans="1:25" ht="19.95" customHeight="1" x14ac:dyDescent="0.35">
      <c r="A18" s="105" t="s">
        <v>778</v>
      </c>
      <c r="B18" s="74">
        <v>0</v>
      </c>
      <c r="C18" s="78" t="s">
        <v>843</v>
      </c>
      <c r="D18" s="81">
        <v>1</v>
      </c>
      <c r="E18" s="81">
        <v>3</v>
      </c>
      <c r="F18" s="81">
        <v>0</v>
      </c>
      <c r="G18" s="85">
        <v>0.03</v>
      </c>
      <c r="H18" s="85">
        <v>0.03</v>
      </c>
      <c r="I18" s="85">
        <v>0.03</v>
      </c>
      <c r="J18" s="81">
        <v>3</v>
      </c>
      <c r="K18" s="88">
        <v>0</v>
      </c>
      <c r="L18" s="88">
        <v>0</v>
      </c>
      <c r="M18" s="88">
        <v>0</v>
      </c>
      <c r="N18" s="88">
        <v>0</v>
      </c>
      <c r="O18" s="88">
        <v>3</v>
      </c>
      <c r="P18" s="88">
        <v>3</v>
      </c>
      <c r="Q18" s="88">
        <v>0</v>
      </c>
      <c r="R18" s="97">
        <v>3</v>
      </c>
      <c r="S18" s="81">
        <v>3</v>
      </c>
      <c r="T18" s="81">
        <v>3</v>
      </c>
      <c r="U18" s="85">
        <v>0</v>
      </c>
      <c r="V18" s="91">
        <f t="shared" si="0"/>
        <v>-1.1299999999999999E-2</v>
      </c>
      <c r="W18" s="100">
        <f t="shared" si="1"/>
        <v>-1.1299999999999999</v>
      </c>
      <c r="X18" s="90">
        <v>4.13</v>
      </c>
      <c r="Y18"/>
    </row>
    <row r="19" spans="1:25" ht="19.95" customHeight="1" x14ac:dyDescent="0.35">
      <c r="A19" s="105" t="s">
        <v>68</v>
      </c>
      <c r="B19" s="74">
        <v>0</v>
      </c>
      <c r="C19" s="78" t="s">
        <v>843</v>
      </c>
      <c r="D19" s="81">
        <v>1</v>
      </c>
      <c r="E19" s="81">
        <v>2</v>
      </c>
      <c r="F19" s="81">
        <v>0</v>
      </c>
      <c r="G19" s="85">
        <v>4.2500000000000003E-2</v>
      </c>
      <c r="H19" s="85">
        <v>4.2500000000000003E-2</v>
      </c>
      <c r="I19" s="85">
        <v>3.5000000000000003E-2</v>
      </c>
      <c r="J19" s="81">
        <v>4.5</v>
      </c>
      <c r="K19" s="88">
        <v>4.5</v>
      </c>
      <c r="L19" s="88">
        <v>0</v>
      </c>
      <c r="M19" s="88">
        <v>0</v>
      </c>
      <c r="N19" s="88">
        <v>4.5</v>
      </c>
      <c r="O19" s="88">
        <v>4.5</v>
      </c>
      <c r="P19" s="88">
        <v>4.5</v>
      </c>
      <c r="Q19" s="88">
        <v>0</v>
      </c>
      <c r="R19" s="97">
        <v>3.5</v>
      </c>
      <c r="S19" s="81">
        <v>3.5</v>
      </c>
      <c r="T19" s="81">
        <v>3.5</v>
      </c>
      <c r="U19" s="85">
        <v>0</v>
      </c>
      <c r="V19" s="91">
        <f t="shared" si="0"/>
        <v>-6.2999999999999948E-3</v>
      </c>
      <c r="W19" s="100">
        <f t="shared" si="1"/>
        <v>0.12000000000000011</v>
      </c>
      <c r="X19" s="90">
        <v>4.13</v>
      </c>
      <c r="Y19"/>
    </row>
    <row r="20" spans="1:25" ht="19.95" customHeight="1" x14ac:dyDescent="0.35">
      <c r="A20" s="106" t="s">
        <v>779</v>
      </c>
      <c r="B20" s="74">
        <v>14750</v>
      </c>
      <c r="C20" s="78">
        <v>10</v>
      </c>
      <c r="D20" s="159">
        <v>3.33</v>
      </c>
      <c r="E20" s="81">
        <v>33.33</v>
      </c>
      <c r="F20" s="81">
        <v>33.33</v>
      </c>
      <c r="G20" s="85">
        <v>3.3300000000000003E-2</v>
      </c>
      <c r="H20" s="85">
        <v>3.3300000000000003E-2</v>
      </c>
      <c r="I20" s="85">
        <v>3.3300000000000003E-2</v>
      </c>
      <c r="J20" s="81">
        <v>3.33</v>
      </c>
      <c r="K20" s="88">
        <v>0</v>
      </c>
      <c r="L20" s="88">
        <v>0</v>
      </c>
      <c r="M20" s="88">
        <v>0</v>
      </c>
      <c r="N20" s="88">
        <v>3.33</v>
      </c>
      <c r="O20" s="88">
        <v>3.33</v>
      </c>
      <c r="P20" s="88">
        <v>3.33</v>
      </c>
      <c r="Q20" s="88">
        <v>0</v>
      </c>
      <c r="R20" s="97">
        <v>20</v>
      </c>
      <c r="S20" s="81">
        <v>3.33</v>
      </c>
      <c r="T20" s="81">
        <v>3.33</v>
      </c>
      <c r="U20" s="85">
        <v>0</v>
      </c>
      <c r="V20" s="92">
        <f t="shared" si="0"/>
        <v>9.7000000000000072E-3</v>
      </c>
      <c r="W20" s="102">
        <f t="shared" si="1"/>
        <v>0.97000000000000064</v>
      </c>
      <c r="X20" s="90">
        <v>2.36</v>
      </c>
      <c r="Y20"/>
    </row>
    <row r="21" spans="1:25" ht="19.95" customHeight="1" x14ac:dyDescent="0.35">
      <c r="A21" s="106" t="s">
        <v>387</v>
      </c>
      <c r="B21" s="74">
        <v>11800</v>
      </c>
      <c r="C21" s="78">
        <v>8</v>
      </c>
      <c r="D21" s="159">
        <v>3.3</v>
      </c>
      <c r="E21" s="81">
        <v>33.33</v>
      </c>
      <c r="F21" s="81">
        <v>33.33</v>
      </c>
      <c r="G21" s="85">
        <v>3.3300000000000003E-2</v>
      </c>
      <c r="H21" s="85">
        <v>3.3300000000000003E-2</v>
      </c>
      <c r="I21" s="85">
        <v>3.3300000000000003E-2</v>
      </c>
      <c r="J21" s="81">
        <v>3.33</v>
      </c>
      <c r="K21" s="88">
        <v>0</v>
      </c>
      <c r="L21" s="88">
        <v>0</v>
      </c>
      <c r="M21" s="88">
        <v>0</v>
      </c>
      <c r="N21" s="88">
        <v>3.33</v>
      </c>
      <c r="O21" s="88">
        <v>3.33</v>
      </c>
      <c r="P21" s="88">
        <v>3.33</v>
      </c>
      <c r="Q21" s="88">
        <v>0</v>
      </c>
      <c r="R21" s="97">
        <v>20</v>
      </c>
      <c r="S21" s="81">
        <v>3.33</v>
      </c>
      <c r="T21" s="81">
        <v>3.33</v>
      </c>
      <c r="U21" s="85">
        <v>0</v>
      </c>
      <c r="V21" s="92">
        <f t="shared" si="0"/>
        <v>9.7000000000000072E-3</v>
      </c>
      <c r="W21" s="102">
        <f t="shared" si="1"/>
        <v>0.97000000000000064</v>
      </c>
      <c r="X21" s="90">
        <v>2.36</v>
      </c>
      <c r="Y21"/>
    </row>
    <row r="22" spans="1:25" ht="19.95" customHeight="1" x14ac:dyDescent="0.35">
      <c r="A22" s="106" t="s">
        <v>385</v>
      </c>
      <c r="B22" s="74">
        <v>2950</v>
      </c>
      <c r="C22" s="78">
        <v>4</v>
      </c>
      <c r="D22" s="81">
        <v>1.33</v>
      </c>
      <c r="E22" s="81">
        <v>6.66</v>
      </c>
      <c r="F22" s="81">
        <v>8.66</v>
      </c>
      <c r="G22" s="85">
        <v>1.3299999999999999E-2</v>
      </c>
      <c r="H22" s="85">
        <v>1.3299999999999999E-2</v>
      </c>
      <c r="I22" s="85">
        <v>1.3299999999999999E-2</v>
      </c>
      <c r="J22" s="81">
        <v>1.33</v>
      </c>
      <c r="K22" s="88">
        <v>0</v>
      </c>
      <c r="L22" s="88">
        <v>0</v>
      </c>
      <c r="M22" s="88">
        <v>0</v>
      </c>
      <c r="N22" s="88">
        <v>1.33</v>
      </c>
      <c r="O22" s="88">
        <v>1.33</v>
      </c>
      <c r="P22" s="88">
        <v>1.33</v>
      </c>
      <c r="Q22" s="88">
        <v>0</v>
      </c>
      <c r="R22" s="97">
        <v>20</v>
      </c>
      <c r="S22" s="81">
        <v>1.33</v>
      </c>
      <c r="T22" s="81">
        <v>1.33</v>
      </c>
      <c r="U22" s="85">
        <v>0</v>
      </c>
      <c r="V22" s="91">
        <f t="shared" si="0"/>
        <v>-1.03E-2</v>
      </c>
      <c r="W22" s="100">
        <f t="shared" si="1"/>
        <v>-1.03</v>
      </c>
      <c r="X22" s="90">
        <v>2.36</v>
      </c>
      <c r="Y22"/>
    </row>
    <row r="23" spans="1:25" ht="19.95" customHeight="1" x14ac:dyDescent="0.35">
      <c r="A23" s="106" t="s">
        <v>780</v>
      </c>
      <c r="B23" s="74">
        <v>1180</v>
      </c>
      <c r="C23" s="78">
        <v>3</v>
      </c>
      <c r="D23" s="81">
        <v>1.33</v>
      </c>
      <c r="E23" s="81">
        <v>13.33</v>
      </c>
      <c r="F23" s="81">
        <v>13.33</v>
      </c>
      <c r="G23" s="85">
        <v>1.3299999999999999E-2</v>
      </c>
      <c r="H23" s="85">
        <v>1.3299999999999999E-2</v>
      </c>
      <c r="I23" s="85">
        <v>1.3299999999999999E-2</v>
      </c>
      <c r="J23" s="81">
        <v>1.33</v>
      </c>
      <c r="K23" s="88">
        <v>0</v>
      </c>
      <c r="L23" s="88">
        <v>0</v>
      </c>
      <c r="M23" s="88">
        <v>0</v>
      </c>
      <c r="N23" s="88">
        <v>1.33</v>
      </c>
      <c r="O23" s="88">
        <v>1.33</v>
      </c>
      <c r="P23" s="88">
        <v>1.33</v>
      </c>
      <c r="Q23" s="88">
        <v>0</v>
      </c>
      <c r="R23" s="97">
        <v>10</v>
      </c>
      <c r="S23" s="81">
        <v>6.66</v>
      </c>
      <c r="T23" s="81">
        <v>6.66</v>
      </c>
      <c r="U23" s="85">
        <v>0</v>
      </c>
      <c r="V23" s="91">
        <f t="shared" si="0"/>
        <v>-2.7999999999999997E-2</v>
      </c>
      <c r="W23" s="100">
        <f t="shared" si="1"/>
        <v>-2.8</v>
      </c>
      <c r="X23" s="90">
        <v>4.13</v>
      </c>
      <c r="Y23"/>
    </row>
    <row r="24" spans="1:25" ht="19.95" customHeight="1" x14ac:dyDescent="0.35">
      <c r="A24" s="106" t="s">
        <v>384</v>
      </c>
      <c r="B24" s="74">
        <v>1180</v>
      </c>
      <c r="C24" s="78">
        <v>1</v>
      </c>
      <c r="D24" s="81">
        <v>1</v>
      </c>
      <c r="E24" s="81">
        <v>5</v>
      </c>
      <c r="F24" s="81">
        <v>5</v>
      </c>
      <c r="G24" s="85">
        <v>0.05</v>
      </c>
      <c r="H24" s="85">
        <v>0.05</v>
      </c>
      <c r="I24" s="85">
        <v>0.01</v>
      </c>
      <c r="J24" s="81">
        <v>1</v>
      </c>
      <c r="K24" s="88">
        <v>1</v>
      </c>
      <c r="L24" s="88">
        <v>1</v>
      </c>
      <c r="M24" s="88">
        <v>1</v>
      </c>
      <c r="N24" s="88">
        <v>1</v>
      </c>
      <c r="O24" s="88">
        <v>1</v>
      </c>
      <c r="P24" s="88">
        <v>1</v>
      </c>
      <c r="Q24" s="88">
        <v>0</v>
      </c>
      <c r="R24" s="97">
        <v>20</v>
      </c>
      <c r="S24" s="81">
        <v>5</v>
      </c>
      <c r="T24" s="81">
        <v>5</v>
      </c>
      <c r="U24" s="85">
        <v>0</v>
      </c>
      <c r="V24" s="92">
        <f t="shared" si="0"/>
        <v>-3.1300000000000001E-2</v>
      </c>
      <c r="W24" s="102">
        <v>-3.13</v>
      </c>
      <c r="X24" s="90">
        <v>4.13</v>
      </c>
      <c r="Y24"/>
    </row>
    <row r="25" spans="1:25" ht="19.95" customHeight="1" x14ac:dyDescent="0.35">
      <c r="A25" s="106" t="s">
        <v>781</v>
      </c>
      <c r="B25" s="74">
        <v>590</v>
      </c>
      <c r="C25" s="78">
        <v>0.5</v>
      </c>
      <c r="D25" s="81">
        <v>0.33</v>
      </c>
      <c r="E25" s="81">
        <v>0.33</v>
      </c>
      <c r="F25" s="81">
        <v>3.33</v>
      </c>
      <c r="G25" s="85">
        <v>3.3E-3</v>
      </c>
      <c r="H25" s="85">
        <v>3.3E-3</v>
      </c>
      <c r="I25" s="85">
        <v>3.3E-3</v>
      </c>
      <c r="J25" s="81">
        <v>0.33</v>
      </c>
      <c r="K25" s="88">
        <v>0</v>
      </c>
      <c r="L25" s="88">
        <v>0</v>
      </c>
      <c r="M25" s="88">
        <v>0</v>
      </c>
      <c r="N25" s="88">
        <v>0.33</v>
      </c>
      <c r="O25" s="88">
        <v>0.33</v>
      </c>
      <c r="P25" s="88">
        <v>0.33</v>
      </c>
      <c r="Q25" s="88">
        <v>0</v>
      </c>
      <c r="R25" s="97">
        <v>3.33</v>
      </c>
      <c r="S25" s="81">
        <v>3.33</v>
      </c>
      <c r="T25" s="81">
        <v>3.33</v>
      </c>
      <c r="U25" s="85">
        <v>3.3E-3</v>
      </c>
      <c r="V25" s="91">
        <f t="shared" si="0"/>
        <v>-3.7999999999999999E-2</v>
      </c>
      <c r="W25" s="100">
        <f t="shared" si="1"/>
        <v>-3.8</v>
      </c>
      <c r="X25" s="90">
        <v>4.13</v>
      </c>
      <c r="Y25"/>
    </row>
    <row r="26" spans="1:25" ht="19.95" customHeight="1" x14ac:dyDescent="0.35">
      <c r="A26" s="106" t="s">
        <v>782</v>
      </c>
      <c r="B26" s="74">
        <v>590</v>
      </c>
      <c r="C26" s="78">
        <v>1</v>
      </c>
      <c r="D26" s="81">
        <v>1</v>
      </c>
      <c r="E26" s="81">
        <v>5</v>
      </c>
      <c r="F26" s="81">
        <v>0</v>
      </c>
      <c r="G26" s="85">
        <v>0.03</v>
      </c>
      <c r="H26" s="85">
        <v>0.01</v>
      </c>
      <c r="I26" s="85">
        <v>0.01</v>
      </c>
      <c r="J26" s="81">
        <v>1</v>
      </c>
      <c r="K26" s="88">
        <v>0</v>
      </c>
      <c r="L26" s="88">
        <v>0</v>
      </c>
      <c r="M26" s="88">
        <v>0</v>
      </c>
      <c r="N26" s="88">
        <v>1</v>
      </c>
      <c r="O26" s="88">
        <v>1</v>
      </c>
      <c r="P26" s="88">
        <v>1</v>
      </c>
      <c r="Q26" s="88">
        <v>0</v>
      </c>
      <c r="R26" s="97">
        <v>5</v>
      </c>
      <c r="S26" s="81">
        <v>5</v>
      </c>
      <c r="T26" s="81">
        <v>5</v>
      </c>
      <c r="U26" s="85">
        <v>0.01</v>
      </c>
      <c r="V26" s="91">
        <f t="shared" si="0"/>
        <v>-3.1300000000000001E-2</v>
      </c>
      <c r="W26" s="100">
        <f t="shared" si="1"/>
        <v>-3.13</v>
      </c>
      <c r="X26" s="90">
        <v>4.13</v>
      </c>
      <c r="Y26"/>
    </row>
    <row r="27" spans="1:25" ht="19.95" customHeight="1" x14ac:dyDescent="0.35">
      <c r="A27" s="106" t="s">
        <v>783</v>
      </c>
      <c r="B27" s="74">
        <v>118</v>
      </c>
      <c r="C27" s="78">
        <v>0.25</v>
      </c>
      <c r="D27" s="81">
        <v>0.25</v>
      </c>
      <c r="E27" s="81">
        <v>0.25</v>
      </c>
      <c r="F27" s="81">
        <v>0</v>
      </c>
      <c r="G27" s="85">
        <v>2.5000000000000001E-3</v>
      </c>
      <c r="H27" s="85">
        <v>2.5000000000000001E-3</v>
      </c>
      <c r="I27" s="85">
        <v>2.5000000000000001E-3</v>
      </c>
      <c r="J27" s="81">
        <v>0.25</v>
      </c>
      <c r="K27" s="88">
        <v>0</v>
      </c>
      <c r="L27" s="88">
        <v>0</v>
      </c>
      <c r="M27" s="88">
        <v>0</v>
      </c>
      <c r="N27" s="88">
        <v>0</v>
      </c>
      <c r="O27" s="88">
        <v>0</v>
      </c>
      <c r="P27" s="88">
        <v>0</v>
      </c>
      <c r="Q27" s="88">
        <v>0</v>
      </c>
      <c r="R27" s="97">
        <v>0</v>
      </c>
      <c r="S27" s="81">
        <v>0.75</v>
      </c>
      <c r="T27" s="81">
        <v>0.75</v>
      </c>
      <c r="U27" s="85">
        <v>7.4999999999999997E-3</v>
      </c>
      <c r="V27" s="91">
        <f t="shared" si="0"/>
        <v>-3.8800000000000001E-2</v>
      </c>
      <c r="W27" s="100">
        <f t="shared" si="1"/>
        <v>-3.88</v>
      </c>
      <c r="X27" s="90">
        <v>4.13</v>
      </c>
      <c r="Y27"/>
    </row>
    <row r="28" spans="1:25" ht="19.95" customHeight="1" x14ac:dyDescent="0.35">
      <c r="A28" s="106" t="s">
        <v>784</v>
      </c>
      <c r="B28" s="74">
        <v>590</v>
      </c>
      <c r="C28" s="78">
        <v>0.5</v>
      </c>
      <c r="D28" s="81">
        <v>0.64</v>
      </c>
      <c r="E28" s="81">
        <v>0.64</v>
      </c>
      <c r="F28" s="81">
        <v>0</v>
      </c>
      <c r="G28" s="85">
        <v>6.4000000000000003E-3</v>
      </c>
      <c r="H28" s="85">
        <v>6.4000000000000003E-3</v>
      </c>
      <c r="I28" s="85">
        <v>6.4000000000000003E-3</v>
      </c>
      <c r="J28" s="81">
        <v>4.5</v>
      </c>
      <c r="K28" s="88">
        <v>0</v>
      </c>
      <c r="L28" s="88">
        <v>0</v>
      </c>
      <c r="M28" s="88">
        <v>0</v>
      </c>
      <c r="N28" s="88">
        <v>0</v>
      </c>
      <c r="O28" s="88">
        <v>0</v>
      </c>
      <c r="P28" s="88">
        <v>0</v>
      </c>
      <c r="Q28" s="88">
        <v>4.5</v>
      </c>
      <c r="R28" s="97">
        <v>0</v>
      </c>
      <c r="S28" s="81">
        <v>4.5</v>
      </c>
      <c r="T28" s="81">
        <v>4.5</v>
      </c>
      <c r="U28" s="85">
        <v>6.4000000000000003E-3</v>
      </c>
      <c r="V28" s="91">
        <f t="shared" si="0"/>
        <v>-3.49E-2</v>
      </c>
      <c r="W28" s="100">
        <f t="shared" si="1"/>
        <v>-3.4899999999999998</v>
      </c>
      <c r="X28" s="90">
        <v>4.13</v>
      </c>
      <c r="Y28"/>
    </row>
    <row r="29" spans="1:25" ht="19.95" customHeight="1" x14ac:dyDescent="0.35">
      <c r="A29" s="106" t="s">
        <v>785</v>
      </c>
      <c r="B29" s="74">
        <v>1770</v>
      </c>
      <c r="C29" s="78">
        <v>3</v>
      </c>
      <c r="D29" s="81">
        <v>1.5</v>
      </c>
      <c r="E29" s="81">
        <v>5</v>
      </c>
      <c r="F29" s="81">
        <v>10</v>
      </c>
      <c r="G29" s="85">
        <v>1.4999999999999999E-2</v>
      </c>
      <c r="H29" s="85">
        <v>1.4999999999999999E-2</v>
      </c>
      <c r="I29" s="85">
        <v>1.4999999999999999E-2</v>
      </c>
      <c r="J29" s="81">
        <v>5</v>
      </c>
      <c r="K29" s="88">
        <v>0</v>
      </c>
      <c r="L29" s="88">
        <v>0</v>
      </c>
      <c r="M29" s="88">
        <v>1.5</v>
      </c>
      <c r="N29" s="88">
        <v>1.5</v>
      </c>
      <c r="O29" s="88">
        <v>1.5</v>
      </c>
      <c r="P29" s="88">
        <v>5</v>
      </c>
      <c r="Q29" s="88">
        <v>0</v>
      </c>
      <c r="R29" s="97">
        <v>1.5</v>
      </c>
      <c r="S29" s="81">
        <v>1.5</v>
      </c>
      <c r="T29" s="81">
        <v>10</v>
      </c>
      <c r="U29" s="85">
        <v>1.4999999999999999E-2</v>
      </c>
      <c r="V29" s="91">
        <f t="shared" si="0"/>
        <v>-8.5999999999999983E-3</v>
      </c>
      <c r="W29" s="100">
        <f t="shared" si="1"/>
        <v>-0.85999999999999988</v>
      </c>
      <c r="X29" s="90">
        <v>2.36</v>
      </c>
      <c r="Y29"/>
    </row>
    <row r="30" spans="1:25" ht="19.95" customHeight="1" x14ac:dyDescent="0.35">
      <c r="A30" s="106" t="s">
        <v>786</v>
      </c>
      <c r="B30" s="74">
        <v>590</v>
      </c>
      <c r="C30" s="78">
        <v>1</v>
      </c>
      <c r="D30" s="81">
        <v>1</v>
      </c>
      <c r="E30" s="81">
        <v>2</v>
      </c>
      <c r="F30" s="81">
        <v>7</v>
      </c>
      <c r="G30" s="85">
        <v>0.01</v>
      </c>
      <c r="H30" s="85">
        <v>0.01</v>
      </c>
      <c r="I30" s="85">
        <v>0.01</v>
      </c>
      <c r="J30" s="81">
        <v>5</v>
      </c>
      <c r="K30" s="88">
        <v>0</v>
      </c>
      <c r="L30" s="88">
        <v>0</v>
      </c>
      <c r="M30" s="88">
        <v>1</v>
      </c>
      <c r="N30" s="88">
        <v>1</v>
      </c>
      <c r="O30" s="88">
        <v>1</v>
      </c>
      <c r="P30" s="88">
        <v>2</v>
      </c>
      <c r="Q30" s="88">
        <v>0</v>
      </c>
      <c r="R30" s="97">
        <v>1</v>
      </c>
      <c r="S30" s="81">
        <v>1</v>
      </c>
      <c r="T30" s="81">
        <v>7</v>
      </c>
      <c r="U30" s="85">
        <v>0.01</v>
      </c>
      <c r="V30" s="91">
        <f t="shared" si="0"/>
        <v>-3.1300000000000001E-2</v>
      </c>
      <c r="W30" s="100">
        <f t="shared" si="1"/>
        <v>-3.13</v>
      </c>
      <c r="X30" s="90">
        <v>4.13</v>
      </c>
      <c r="Y30"/>
    </row>
    <row r="31" spans="1:25" ht="19.95" customHeight="1" x14ac:dyDescent="0.35">
      <c r="A31" s="106" t="s">
        <v>391</v>
      </c>
      <c r="B31" s="74">
        <v>590</v>
      </c>
      <c r="C31" s="78">
        <v>2</v>
      </c>
      <c r="D31" s="81">
        <v>1</v>
      </c>
      <c r="E31" s="81">
        <v>5</v>
      </c>
      <c r="F31" s="81">
        <v>0</v>
      </c>
      <c r="G31" s="85">
        <v>0.05</v>
      </c>
      <c r="H31" s="85">
        <v>0.05</v>
      </c>
      <c r="I31" s="85">
        <v>0.01</v>
      </c>
      <c r="J31" s="81">
        <v>1</v>
      </c>
      <c r="K31" s="88">
        <v>0</v>
      </c>
      <c r="L31" s="88">
        <v>0</v>
      </c>
      <c r="M31" s="88">
        <v>0</v>
      </c>
      <c r="N31" s="88">
        <v>1</v>
      </c>
      <c r="O31" s="88">
        <v>1</v>
      </c>
      <c r="P31" s="88">
        <v>0</v>
      </c>
      <c r="Q31" s="88">
        <v>0</v>
      </c>
      <c r="R31" s="97">
        <v>10</v>
      </c>
      <c r="S31" s="81">
        <v>1</v>
      </c>
      <c r="T31" s="81">
        <v>10</v>
      </c>
      <c r="U31" s="85">
        <v>0</v>
      </c>
      <c r="V31" s="91">
        <f t="shared" si="0"/>
        <v>-3.1300000000000001E-2</v>
      </c>
      <c r="W31" s="100">
        <f t="shared" si="1"/>
        <v>0.87000000000000011</v>
      </c>
      <c r="X31" s="90">
        <v>4.13</v>
      </c>
      <c r="Y31"/>
    </row>
    <row r="32" spans="1:25" ht="19.95" customHeight="1" x14ac:dyDescent="0.35">
      <c r="A32" s="106" t="s">
        <v>787</v>
      </c>
      <c r="B32" s="74">
        <v>3540</v>
      </c>
      <c r="C32" s="78" t="s">
        <v>843</v>
      </c>
      <c r="D32" s="81">
        <v>0.67</v>
      </c>
      <c r="E32" s="81">
        <v>4</v>
      </c>
      <c r="F32" s="81">
        <v>0</v>
      </c>
      <c r="G32" s="85">
        <v>6.7000000000000002E-3</v>
      </c>
      <c r="H32" s="85">
        <v>6.7000000000000002E-3</v>
      </c>
      <c r="I32" s="85">
        <v>6.7000000000000002E-3</v>
      </c>
      <c r="J32" s="81">
        <v>0.67</v>
      </c>
      <c r="K32" s="88">
        <v>0</v>
      </c>
      <c r="L32" s="88">
        <v>0</v>
      </c>
      <c r="M32" s="88">
        <v>0</v>
      </c>
      <c r="N32" s="88">
        <v>0.67</v>
      </c>
      <c r="O32" s="88">
        <v>0.67</v>
      </c>
      <c r="P32" s="88">
        <v>0.67</v>
      </c>
      <c r="Q32" s="88">
        <v>0</v>
      </c>
      <c r="R32" s="97">
        <v>1.33</v>
      </c>
      <c r="S32" s="81">
        <v>0.67</v>
      </c>
      <c r="T32" s="81">
        <v>0.67</v>
      </c>
      <c r="U32" s="85">
        <v>0</v>
      </c>
      <c r="V32" s="91">
        <f t="shared" si="0"/>
        <v>-3.4599999999999999E-2</v>
      </c>
      <c r="W32" s="100">
        <f t="shared" si="1"/>
        <v>-3.46</v>
      </c>
      <c r="X32" s="90">
        <v>4.13</v>
      </c>
      <c r="Y32"/>
    </row>
    <row r="33" spans="1:25" ht="19.95" customHeight="1" x14ac:dyDescent="0.35">
      <c r="A33" s="106" t="s">
        <v>395</v>
      </c>
      <c r="B33" s="74">
        <v>590</v>
      </c>
      <c r="C33" s="78">
        <v>1.5</v>
      </c>
      <c r="D33" s="81">
        <v>1</v>
      </c>
      <c r="E33" s="81">
        <v>10</v>
      </c>
      <c r="F33" s="81">
        <v>0</v>
      </c>
      <c r="G33" s="85">
        <v>0.01</v>
      </c>
      <c r="H33" s="85">
        <v>0.01</v>
      </c>
      <c r="I33" s="85">
        <v>0.01</v>
      </c>
      <c r="J33" s="81">
        <v>1</v>
      </c>
      <c r="K33" s="88">
        <v>0</v>
      </c>
      <c r="L33" s="88">
        <v>0</v>
      </c>
      <c r="M33" s="88">
        <v>0</v>
      </c>
      <c r="N33" s="88">
        <v>1</v>
      </c>
      <c r="O33" s="88">
        <v>1</v>
      </c>
      <c r="P33" s="88">
        <v>1</v>
      </c>
      <c r="Q33" s="88">
        <v>0</v>
      </c>
      <c r="R33" s="97">
        <v>1</v>
      </c>
      <c r="S33" s="81">
        <v>1</v>
      </c>
      <c r="T33" s="81">
        <v>1</v>
      </c>
      <c r="U33" s="85">
        <v>0.01</v>
      </c>
      <c r="V33" s="91">
        <f t="shared" si="0"/>
        <v>-3.1300000000000001E-2</v>
      </c>
      <c r="W33" s="100">
        <f t="shared" si="1"/>
        <v>-3.13</v>
      </c>
      <c r="X33" s="90">
        <v>4.13</v>
      </c>
      <c r="Y33"/>
    </row>
    <row r="34" spans="1:25" ht="19.95" customHeight="1" x14ac:dyDescent="0.35">
      <c r="A34" s="106" t="s">
        <v>788</v>
      </c>
      <c r="B34" s="74">
        <v>1180</v>
      </c>
      <c r="C34" s="78" t="s">
        <v>843</v>
      </c>
      <c r="D34" s="81">
        <v>2</v>
      </c>
      <c r="E34" s="81">
        <v>5</v>
      </c>
      <c r="F34" s="81">
        <v>0</v>
      </c>
      <c r="G34" s="85">
        <v>0.02</v>
      </c>
      <c r="H34" s="85">
        <v>0.02</v>
      </c>
      <c r="I34" s="85">
        <v>0.02</v>
      </c>
      <c r="J34" s="81">
        <v>2</v>
      </c>
      <c r="K34" s="88">
        <v>0</v>
      </c>
      <c r="L34" s="88">
        <v>0</v>
      </c>
      <c r="M34" s="88">
        <v>0</v>
      </c>
      <c r="N34" s="88">
        <v>2</v>
      </c>
      <c r="O34" s="88">
        <v>2</v>
      </c>
      <c r="P34" s="88">
        <v>2</v>
      </c>
      <c r="Q34" s="88">
        <v>0</v>
      </c>
      <c r="R34" s="97">
        <v>3</v>
      </c>
      <c r="S34" s="81">
        <v>3</v>
      </c>
      <c r="T34" s="81">
        <v>3</v>
      </c>
      <c r="U34" s="85">
        <v>0</v>
      </c>
      <c r="V34" s="91">
        <f t="shared" si="0"/>
        <v>-9.5000000000000015E-3</v>
      </c>
      <c r="W34" s="100">
        <f t="shared" si="1"/>
        <v>-0.95000000000000018</v>
      </c>
      <c r="X34" s="90">
        <v>2.95</v>
      </c>
      <c r="Y34"/>
    </row>
    <row r="35" spans="1:25" ht="19.95" customHeight="1" x14ac:dyDescent="0.35">
      <c r="A35" s="106" t="s">
        <v>789</v>
      </c>
      <c r="B35" s="74">
        <v>11800</v>
      </c>
      <c r="C35" s="78">
        <v>7.5</v>
      </c>
      <c r="D35" s="159">
        <v>3.33</v>
      </c>
      <c r="E35" s="81">
        <v>33.33</v>
      </c>
      <c r="F35" s="81">
        <v>33.33</v>
      </c>
      <c r="G35" s="85">
        <v>3.3300000000000003E-2</v>
      </c>
      <c r="H35" s="85">
        <v>3.3300000000000003E-2</v>
      </c>
      <c r="I35" s="85">
        <v>3.3300000000000003E-2</v>
      </c>
      <c r="J35" s="81">
        <v>3.33</v>
      </c>
      <c r="K35" s="88">
        <v>33.33</v>
      </c>
      <c r="L35" s="88">
        <v>0</v>
      </c>
      <c r="M35" s="88">
        <v>0</v>
      </c>
      <c r="N35" s="88">
        <v>3.33</v>
      </c>
      <c r="O35" s="88">
        <v>3.33</v>
      </c>
      <c r="P35" s="88">
        <v>3.33</v>
      </c>
      <c r="Q35" s="88">
        <v>0</v>
      </c>
      <c r="R35" s="97">
        <v>3.33</v>
      </c>
      <c r="S35" s="81">
        <v>3.33</v>
      </c>
      <c r="T35" s="81">
        <v>3.33</v>
      </c>
      <c r="U35" s="85">
        <v>0</v>
      </c>
      <c r="V35" s="91">
        <f t="shared" si="0"/>
        <v>-7.9999999999999932E-3</v>
      </c>
      <c r="W35" s="100">
        <f t="shared" si="1"/>
        <v>-0.79999999999999938</v>
      </c>
      <c r="X35" s="90">
        <v>4.13</v>
      </c>
      <c r="Y35"/>
    </row>
    <row r="36" spans="1:25" ht="19.95" customHeight="1" x14ac:dyDescent="0.35">
      <c r="A36" s="107" t="s">
        <v>790</v>
      </c>
      <c r="B36" s="74">
        <v>14750</v>
      </c>
      <c r="C36" s="78">
        <v>10</v>
      </c>
      <c r="D36" s="159">
        <v>3</v>
      </c>
      <c r="E36" s="81">
        <v>3.75</v>
      </c>
      <c r="F36" s="81">
        <v>0</v>
      </c>
      <c r="G36" s="85">
        <v>3.7499999999999999E-2</v>
      </c>
      <c r="H36" s="85">
        <v>3.7499999999999999E-2</v>
      </c>
      <c r="I36" s="85">
        <v>3.7499999999999999E-2</v>
      </c>
      <c r="J36" s="81">
        <v>3</v>
      </c>
      <c r="K36" s="88">
        <v>0</v>
      </c>
      <c r="L36" s="88">
        <v>0</v>
      </c>
      <c r="M36" s="88">
        <v>0</v>
      </c>
      <c r="N36" s="88">
        <v>3.75</v>
      </c>
      <c r="O36" s="88">
        <v>3.75</v>
      </c>
      <c r="P36" s="88">
        <v>0</v>
      </c>
      <c r="Q36" s="88">
        <v>0</v>
      </c>
      <c r="R36" s="97">
        <v>25</v>
      </c>
      <c r="S36" s="81">
        <v>3.75</v>
      </c>
      <c r="T36" s="81">
        <v>3.75</v>
      </c>
      <c r="U36" s="85">
        <v>0</v>
      </c>
      <c r="V36" s="91">
        <f t="shared" si="0"/>
        <v>1.3900000000000001E-2</v>
      </c>
      <c r="W36" s="100">
        <f t="shared" si="1"/>
        <v>1.3900000000000001</v>
      </c>
      <c r="X36" s="90">
        <v>2.36</v>
      </c>
      <c r="Y36"/>
    </row>
    <row r="37" spans="1:25" ht="19.95" customHeight="1" x14ac:dyDescent="0.35">
      <c r="A37" s="107" t="s">
        <v>791</v>
      </c>
      <c r="B37" s="74">
        <v>0</v>
      </c>
      <c r="C37" s="78" t="s">
        <v>843</v>
      </c>
      <c r="D37" s="81">
        <v>1</v>
      </c>
      <c r="E37" s="81">
        <v>5</v>
      </c>
      <c r="F37" s="81">
        <v>5</v>
      </c>
      <c r="G37" s="85">
        <v>0.01</v>
      </c>
      <c r="H37" s="85">
        <v>0.01</v>
      </c>
      <c r="I37" s="85">
        <v>0.01</v>
      </c>
      <c r="J37" s="81">
        <v>2</v>
      </c>
      <c r="K37" s="88">
        <v>0</v>
      </c>
      <c r="L37" s="88">
        <v>0</v>
      </c>
      <c r="M37" s="88">
        <v>1</v>
      </c>
      <c r="N37" s="88">
        <v>1</v>
      </c>
      <c r="O37" s="88">
        <v>2</v>
      </c>
      <c r="P37" s="88">
        <v>1</v>
      </c>
      <c r="Q37" s="88">
        <v>0</v>
      </c>
      <c r="R37" s="97">
        <v>15</v>
      </c>
      <c r="S37" s="81">
        <v>1</v>
      </c>
      <c r="T37" s="81">
        <v>5</v>
      </c>
      <c r="U37" s="85">
        <v>0</v>
      </c>
      <c r="V37" s="91">
        <f t="shared" si="0"/>
        <v>-3.1300000000000001E-2</v>
      </c>
      <c r="W37" s="100">
        <f t="shared" si="1"/>
        <v>-3.13</v>
      </c>
      <c r="X37" s="90">
        <v>4.13</v>
      </c>
      <c r="Y37"/>
    </row>
    <row r="38" spans="1:25" ht="19.95" customHeight="1" x14ac:dyDescent="0.35">
      <c r="A38" s="107" t="s">
        <v>792</v>
      </c>
      <c r="B38" s="74">
        <v>0</v>
      </c>
      <c r="C38" s="78" t="s">
        <v>843</v>
      </c>
      <c r="D38" s="81">
        <v>0.5</v>
      </c>
      <c r="E38" s="81">
        <v>0.5</v>
      </c>
      <c r="F38" s="81">
        <v>0</v>
      </c>
      <c r="G38" s="85">
        <v>5.0000000000000001E-3</v>
      </c>
      <c r="H38" s="85">
        <v>5.0000000000000001E-3</v>
      </c>
      <c r="I38" s="85">
        <v>5.0000000000000001E-3</v>
      </c>
      <c r="J38" s="81">
        <v>0</v>
      </c>
      <c r="K38" s="88">
        <v>0.25</v>
      </c>
      <c r="L38" s="88">
        <v>0.25</v>
      </c>
      <c r="M38" s="88">
        <v>0</v>
      </c>
      <c r="N38" s="88">
        <v>0.25</v>
      </c>
      <c r="O38" s="88">
        <v>0.25</v>
      </c>
      <c r="P38" s="88">
        <v>0.25</v>
      </c>
      <c r="Q38" s="88">
        <v>0.25</v>
      </c>
      <c r="R38" s="97">
        <v>15</v>
      </c>
      <c r="S38" s="81">
        <v>0.5</v>
      </c>
      <c r="T38" s="81">
        <v>0.5</v>
      </c>
      <c r="U38" s="85">
        <v>5.0000000000000001E-3</v>
      </c>
      <c r="V38" s="91">
        <f t="shared" si="0"/>
        <v>-3.6299999999999999E-2</v>
      </c>
      <c r="W38" s="100">
        <f t="shared" si="1"/>
        <v>-3.63</v>
      </c>
      <c r="X38" s="90">
        <v>4.13</v>
      </c>
      <c r="Y38"/>
    </row>
    <row r="39" spans="1:25" ht="19.95" customHeight="1" x14ac:dyDescent="0.35">
      <c r="A39" s="108" t="s">
        <v>793</v>
      </c>
      <c r="B39" s="74">
        <v>1180</v>
      </c>
      <c r="C39" s="78">
        <v>2</v>
      </c>
      <c r="D39" s="81">
        <v>1</v>
      </c>
      <c r="E39" s="81">
        <v>5</v>
      </c>
      <c r="F39" s="81">
        <v>0</v>
      </c>
      <c r="G39" s="85">
        <v>0.05</v>
      </c>
      <c r="H39" s="85">
        <v>0.05</v>
      </c>
      <c r="I39" s="85">
        <v>0.01</v>
      </c>
      <c r="J39" s="81">
        <v>0</v>
      </c>
      <c r="K39" s="88">
        <v>0</v>
      </c>
      <c r="L39" s="88">
        <v>0</v>
      </c>
      <c r="M39" s="88">
        <v>0</v>
      </c>
      <c r="N39" s="88">
        <v>0</v>
      </c>
      <c r="O39" s="88">
        <v>0</v>
      </c>
      <c r="P39" s="88">
        <v>0</v>
      </c>
      <c r="Q39" s="88">
        <v>0</v>
      </c>
      <c r="R39" s="97">
        <v>5</v>
      </c>
      <c r="S39" s="81">
        <v>1</v>
      </c>
      <c r="T39" s="81">
        <v>5</v>
      </c>
      <c r="U39" s="85">
        <v>0</v>
      </c>
      <c r="V39" s="91">
        <f t="shared" si="0"/>
        <v>-3.1300000000000001E-2</v>
      </c>
      <c r="W39" s="100">
        <f t="shared" si="1"/>
        <v>0.87000000000000011</v>
      </c>
      <c r="X39" s="90">
        <v>4.13</v>
      </c>
      <c r="Y39"/>
    </row>
    <row r="40" spans="1:25" ht="19.95" customHeight="1" x14ac:dyDescent="0.35">
      <c r="A40" s="108" t="s">
        <v>794</v>
      </c>
      <c r="B40" s="74">
        <v>590</v>
      </c>
      <c r="C40" s="78">
        <v>1</v>
      </c>
      <c r="D40" s="81">
        <v>0.25</v>
      </c>
      <c r="E40" s="81">
        <v>1.25</v>
      </c>
      <c r="F40" s="81">
        <v>0</v>
      </c>
      <c r="G40" s="85">
        <v>2.5000000000000001E-2</v>
      </c>
      <c r="H40" s="85">
        <v>1.2500000000000001E-2</v>
      </c>
      <c r="I40" s="85">
        <v>2.5000000000000001E-3</v>
      </c>
      <c r="J40" s="81">
        <v>0.25</v>
      </c>
      <c r="K40" s="88">
        <v>0.25</v>
      </c>
      <c r="L40" s="88">
        <v>0</v>
      </c>
      <c r="M40" s="88">
        <v>0</v>
      </c>
      <c r="N40" s="88">
        <v>0.25</v>
      </c>
      <c r="O40" s="88">
        <v>0.25</v>
      </c>
      <c r="P40" s="88">
        <v>0.25</v>
      </c>
      <c r="Q40" s="88">
        <v>0</v>
      </c>
      <c r="R40" s="97">
        <v>1.25</v>
      </c>
      <c r="S40" s="81">
        <v>1.25</v>
      </c>
      <c r="T40" s="81">
        <v>1.25</v>
      </c>
      <c r="U40" s="85">
        <v>0</v>
      </c>
      <c r="V40" s="91">
        <f t="shared" si="0"/>
        <v>-3.8800000000000001E-2</v>
      </c>
      <c r="W40" s="100">
        <f t="shared" si="1"/>
        <v>-2.88</v>
      </c>
      <c r="X40" s="90">
        <v>4.13</v>
      </c>
      <c r="Y40"/>
    </row>
    <row r="41" spans="1:25" ht="19.95" customHeight="1" x14ac:dyDescent="0.35">
      <c r="A41" s="108" t="s">
        <v>795</v>
      </c>
      <c r="B41" s="74">
        <v>590</v>
      </c>
      <c r="C41" s="78">
        <v>1</v>
      </c>
      <c r="D41" s="81">
        <v>0.16</v>
      </c>
      <c r="E41" s="81">
        <v>0.16</v>
      </c>
      <c r="F41" s="81">
        <v>0</v>
      </c>
      <c r="G41" s="85">
        <v>1.6000000000000001E-3</v>
      </c>
      <c r="H41" s="85">
        <v>1.6000000000000001E-3</v>
      </c>
      <c r="I41" s="85">
        <v>1.6000000000000001E-3</v>
      </c>
      <c r="J41" s="81">
        <v>0.16</v>
      </c>
      <c r="K41" s="88">
        <v>0.14000000000000001</v>
      </c>
      <c r="L41" s="88">
        <v>0</v>
      </c>
      <c r="M41" s="88">
        <v>0</v>
      </c>
      <c r="N41" s="88">
        <v>0.16</v>
      </c>
      <c r="O41" s="88">
        <v>0.16</v>
      </c>
      <c r="P41" s="88">
        <v>0.16</v>
      </c>
      <c r="Q41" s="88">
        <v>0</v>
      </c>
      <c r="R41" s="97">
        <v>1.67</v>
      </c>
      <c r="S41" s="81">
        <v>1.67</v>
      </c>
      <c r="T41" s="81">
        <v>1.67</v>
      </c>
      <c r="U41" s="85">
        <v>1.6000000000000001E-3</v>
      </c>
      <c r="V41" s="91">
        <f t="shared" si="0"/>
        <v>-3.9699999999999999E-2</v>
      </c>
      <c r="W41" s="100">
        <f t="shared" si="1"/>
        <v>-3.9699999999999998</v>
      </c>
      <c r="X41" s="90">
        <v>4.13</v>
      </c>
      <c r="Y41"/>
    </row>
    <row r="42" spans="1:25" ht="19.95" customHeight="1" x14ac:dyDescent="0.35">
      <c r="A42" s="108" t="s">
        <v>290</v>
      </c>
      <c r="B42" s="74">
        <v>1770</v>
      </c>
      <c r="C42" s="78">
        <v>2</v>
      </c>
      <c r="D42" s="81">
        <v>0.25</v>
      </c>
      <c r="E42" s="81">
        <v>0.25</v>
      </c>
      <c r="F42" s="81">
        <v>0</v>
      </c>
      <c r="G42" s="85">
        <v>2.5999999999999999E-3</v>
      </c>
      <c r="H42" s="85">
        <v>2.5999999999999999E-3</v>
      </c>
      <c r="I42" s="85">
        <v>2.5999999999999999E-3</v>
      </c>
      <c r="J42" s="81">
        <v>0.26</v>
      </c>
      <c r="K42" s="88">
        <v>0</v>
      </c>
      <c r="L42" s="88">
        <v>0</v>
      </c>
      <c r="M42" s="88">
        <v>0</v>
      </c>
      <c r="N42" s="88">
        <v>0</v>
      </c>
      <c r="O42" s="88">
        <v>0</v>
      </c>
      <c r="P42" s="88">
        <v>0</v>
      </c>
      <c r="Q42" s="88">
        <v>6.25</v>
      </c>
      <c r="R42" s="97">
        <v>2.5</v>
      </c>
      <c r="S42" s="81">
        <v>2.5</v>
      </c>
      <c r="T42" s="81">
        <v>2.5</v>
      </c>
      <c r="U42" s="85">
        <v>2.5000000000000001E-3</v>
      </c>
      <c r="V42" s="91">
        <f t="shared" si="0"/>
        <v>-3.8699999999999998E-2</v>
      </c>
      <c r="W42" s="100">
        <f t="shared" si="1"/>
        <v>-3.87</v>
      </c>
      <c r="X42" s="90">
        <v>4.13</v>
      </c>
      <c r="Y42"/>
    </row>
    <row r="43" spans="1:25" ht="19.95" customHeight="1" x14ac:dyDescent="0.35">
      <c r="A43" s="108" t="s">
        <v>796</v>
      </c>
      <c r="B43" s="74">
        <v>5900</v>
      </c>
      <c r="C43" s="78">
        <v>10</v>
      </c>
      <c r="D43" s="81">
        <v>0.5</v>
      </c>
      <c r="E43" s="81">
        <v>0.5</v>
      </c>
      <c r="F43" s="81">
        <v>0</v>
      </c>
      <c r="G43" s="85">
        <v>5.0000000000000001E-3</v>
      </c>
      <c r="H43" s="85">
        <v>5.0000000000000001E-3</v>
      </c>
      <c r="I43" s="85">
        <v>5.0000000000000001E-3</v>
      </c>
      <c r="J43" s="81">
        <v>0</v>
      </c>
      <c r="K43" s="88">
        <v>0</v>
      </c>
      <c r="L43" s="88">
        <v>0</v>
      </c>
      <c r="M43" s="88">
        <v>0</v>
      </c>
      <c r="N43" s="88">
        <v>0</v>
      </c>
      <c r="O43" s="88">
        <v>0</v>
      </c>
      <c r="P43" s="88">
        <v>0</v>
      </c>
      <c r="Q43" s="88">
        <v>0</v>
      </c>
      <c r="R43" s="97">
        <v>2.5</v>
      </c>
      <c r="S43" s="81">
        <v>4.5</v>
      </c>
      <c r="T43" s="81">
        <v>4.5</v>
      </c>
      <c r="U43" s="85">
        <v>5.0000000000000001E-3</v>
      </c>
      <c r="V43" s="91">
        <f t="shared" si="0"/>
        <v>-1.8500000000000003E-2</v>
      </c>
      <c r="W43" s="100">
        <f t="shared" si="1"/>
        <v>-1.85</v>
      </c>
      <c r="X43" s="90">
        <v>2.35</v>
      </c>
      <c r="Y43"/>
    </row>
    <row r="44" spans="1:25" ht="19.95" customHeight="1" x14ac:dyDescent="0.35">
      <c r="A44" s="109" t="s">
        <v>797</v>
      </c>
      <c r="B44" s="74">
        <v>7080</v>
      </c>
      <c r="C44" s="78" t="s">
        <v>843</v>
      </c>
      <c r="D44" s="81">
        <v>0.83</v>
      </c>
      <c r="E44" s="81">
        <v>1.66</v>
      </c>
      <c r="F44" s="81">
        <v>0</v>
      </c>
      <c r="G44" s="85">
        <v>8.3000000000000001E-3</v>
      </c>
      <c r="H44" s="85">
        <v>8.3000000000000001E-3</v>
      </c>
      <c r="I44" s="85">
        <v>8.3000000000000001E-3</v>
      </c>
      <c r="J44" s="81">
        <v>0.17</v>
      </c>
      <c r="K44" s="88">
        <v>0.83</v>
      </c>
      <c r="L44" s="88">
        <v>0.83</v>
      </c>
      <c r="M44" s="88">
        <v>0.83</v>
      </c>
      <c r="N44" s="88">
        <v>0.83</v>
      </c>
      <c r="O44" s="88">
        <v>0.83</v>
      </c>
      <c r="P44" s="88">
        <v>0.83</v>
      </c>
      <c r="Q44" s="88">
        <v>0</v>
      </c>
      <c r="R44" s="97">
        <v>0.83</v>
      </c>
      <c r="S44" s="81">
        <v>0.83</v>
      </c>
      <c r="T44" s="81">
        <v>0.83</v>
      </c>
      <c r="U44" s="85">
        <v>0</v>
      </c>
      <c r="V44" s="91">
        <f t="shared" si="0"/>
        <v>8.3000000000000001E-3</v>
      </c>
      <c r="W44" s="100">
        <f t="shared" si="1"/>
        <v>0.83</v>
      </c>
      <c r="X44" s="90">
        <v>0</v>
      </c>
      <c r="Y44"/>
    </row>
    <row r="45" spans="1:25" ht="19.95" customHeight="1" x14ac:dyDescent="0.35">
      <c r="A45" s="109" t="s">
        <v>798</v>
      </c>
      <c r="B45" s="74">
        <v>3540</v>
      </c>
      <c r="C45" s="78" t="s">
        <v>843</v>
      </c>
      <c r="D45" s="81">
        <v>0.8</v>
      </c>
      <c r="E45" s="81">
        <v>1.66</v>
      </c>
      <c r="F45" s="81">
        <v>0</v>
      </c>
      <c r="G45" s="85">
        <v>8.3000000000000001E-3</v>
      </c>
      <c r="H45" s="85">
        <v>8.3000000000000001E-3</v>
      </c>
      <c r="I45" s="85">
        <v>8.3000000000000001E-3</v>
      </c>
      <c r="J45" s="81">
        <v>0.17</v>
      </c>
      <c r="K45" s="88">
        <v>0.83</v>
      </c>
      <c r="L45" s="88">
        <v>0.83</v>
      </c>
      <c r="M45" s="88">
        <v>0.83</v>
      </c>
      <c r="N45" s="88">
        <v>0.83</v>
      </c>
      <c r="O45" s="88">
        <v>0.83</v>
      </c>
      <c r="P45" s="88">
        <v>0.83</v>
      </c>
      <c r="Q45" s="88">
        <v>0</v>
      </c>
      <c r="R45" s="97">
        <v>0.5</v>
      </c>
      <c r="S45" s="81">
        <v>0.83</v>
      </c>
      <c r="T45" s="81">
        <v>0.83</v>
      </c>
      <c r="U45" s="85">
        <v>0</v>
      </c>
      <c r="V45" s="91">
        <f t="shared" si="0"/>
        <v>-3.4999999999999996E-3</v>
      </c>
      <c r="W45" s="100">
        <f t="shared" si="1"/>
        <v>-0.35</v>
      </c>
      <c r="X45" s="90">
        <v>1.18</v>
      </c>
      <c r="Y45"/>
    </row>
    <row r="46" spans="1:25" ht="19.95" customHeight="1" x14ac:dyDescent="0.35">
      <c r="A46" s="109" t="s">
        <v>799</v>
      </c>
      <c r="B46" s="74">
        <v>0</v>
      </c>
      <c r="C46" s="78" t="s">
        <v>843</v>
      </c>
      <c r="D46" s="81">
        <v>0.5</v>
      </c>
      <c r="E46" s="81">
        <v>1.66</v>
      </c>
      <c r="F46" s="81">
        <v>0</v>
      </c>
      <c r="G46" s="85">
        <v>5.0000000000000001E-3</v>
      </c>
      <c r="H46" s="85">
        <v>5.0000000000000001E-3</v>
      </c>
      <c r="I46" s="85">
        <v>5.0000000000000001E-3</v>
      </c>
      <c r="J46" s="81">
        <v>0.17</v>
      </c>
      <c r="K46" s="88">
        <v>0.5</v>
      </c>
      <c r="L46" s="88">
        <v>0.5</v>
      </c>
      <c r="M46" s="88">
        <v>0.5</v>
      </c>
      <c r="N46" s="88">
        <v>0.5</v>
      </c>
      <c r="O46" s="88">
        <v>0.5</v>
      </c>
      <c r="P46" s="88">
        <v>0.5</v>
      </c>
      <c r="Q46" s="88">
        <v>0</v>
      </c>
      <c r="R46" s="97">
        <v>0.5</v>
      </c>
      <c r="S46" s="81">
        <v>0.5</v>
      </c>
      <c r="T46" s="81">
        <v>0.5</v>
      </c>
      <c r="U46" s="85">
        <v>0</v>
      </c>
      <c r="V46" s="91">
        <f t="shared" si="0"/>
        <v>-1.2699999999999999E-2</v>
      </c>
      <c r="W46" s="100">
        <f t="shared" si="1"/>
        <v>-1.27</v>
      </c>
      <c r="X46" s="90">
        <v>1.77</v>
      </c>
      <c r="Y46"/>
    </row>
    <row r="47" spans="1:25" ht="19.95" customHeight="1" x14ac:dyDescent="0.35">
      <c r="A47" s="109" t="s">
        <v>800</v>
      </c>
      <c r="B47" s="74">
        <v>0</v>
      </c>
      <c r="C47" s="78" t="s">
        <v>843</v>
      </c>
      <c r="D47" s="81">
        <v>0.5</v>
      </c>
      <c r="E47" s="81">
        <v>1.66</v>
      </c>
      <c r="F47" s="81">
        <v>0</v>
      </c>
      <c r="G47" s="85">
        <v>5.0000000000000001E-3</v>
      </c>
      <c r="H47" s="85">
        <v>5.0000000000000001E-3</v>
      </c>
      <c r="I47" s="85">
        <v>5.0000000000000001E-3</v>
      </c>
      <c r="J47" s="81">
        <v>0.17</v>
      </c>
      <c r="K47" s="88">
        <v>0.5</v>
      </c>
      <c r="L47" s="88">
        <v>0.5</v>
      </c>
      <c r="M47" s="88">
        <v>0.5</v>
      </c>
      <c r="N47" s="88">
        <v>0.5</v>
      </c>
      <c r="O47" s="88">
        <v>0.5</v>
      </c>
      <c r="P47" s="88">
        <v>0.5</v>
      </c>
      <c r="Q47" s="88">
        <v>0</v>
      </c>
      <c r="R47" s="97">
        <v>0.5</v>
      </c>
      <c r="S47" s="81">
        <v>0.5</v>
      </c>
      <c r="T47" s="81">
        <v>0.5</v>
      </c>
      <c r="U47" s="85">
        <v>0</v>
      </c>
      <c r="V47" s="91">
        <f t="shared" si="0"/>
        <v>-1.84E-2</v>
      </c>
      <c r="W47" s="100">
        <f t="shared" si="1"/>
        <v>-1.8399999999999999</v>
      </c>
      <c r="X47" s="90">
        <v>2.34</v>
      </c>
      <c r="Y47"/>
    </row>
    <row r="48" spans="1:25" ht="19.95" customHeight="1" x14ac:dyDescent="0.35">
      <c r="A48" s="109" t="s">
        <v>801</v>
      </c>
      <c r="B48" s="74">
        <v>0</v>
      </c>
      <c r="C48" s="78" t="s">
        <v>843</v>
      </c>
      <c r="D48" s="81">
        <v>0.5</v>
      </c>
      <c r="E48" s="81">
        <v>1.66</v>
      </c>
      <c r="F48" s="81">
        <v>0</v>
      </c>
      <c r="G48" s="85">
        <v>5.0000000000000001E-3</v>
      </c>
      <c r="H48" s="85">
        <v>5.0000000000000001E-3</v>
      </c>
      <c r="I48" s="85">
        <v>5.0000000000000001E-3</v>
      </c>
      <c r="J48" s="81">
        <v>0.17</v>
      </c>
      <c r="K48" s="88">
        <v>0.5</v>
      </c>
      <c r="L48" s="88">
        <v>0.5</v>
      </c>
      <c r="M48" s="88">
        <v>0.5</v>
      </c>
      <c r="N48" s="88">
        <v>0.5</v>
      </c>
      <c r="O48" s="88">
        <v>0.5</v>
      </c>
      <c r="P48" s="88">
        <v>0.5</v>
      </c>
      <c r="Q48" s="88">
        <v>0</v>
      </c>
      <c r="R48" s="97">
        <v>0.5</v>
      </c>
      <c r="S48" s="81">
        <v>0.5</v>
      </c>
      <c r="T48" s="81">
        <v>0.5</v>
      </c>
      <c r="U48" s="85">
        <v>0</v>
      </c>
      <c r="V48" s="91">
        <f t="shared" si="0"/>
        <v>-3.6299999999999999E-2</v>
      </c>
      <c r="W48" s="100">
        <f t="shared" si="1"/>
        <v>-3.63</v>
      </c>
      <c r="X48" s="90">
        <v>4.13</v>
      </c>
      <c r="Y48"/>
    </row>
    <row r="49" spans="1:25" ht="19.95" customHeight="1" x14ac:dyDescent="0.35">
      <c r="A49" s="109" t="s">
        <v>802</v>
      </c>
      <c r="B49" s="74">
        <v>0</v>
      </c>
      <c r="C49" s="78" t="s">
        <v>843</v>
      </c>
      <c r="D49" s="81">
        <v>0.5</v>
      </c>
      <c r="E49" s="81">
        <v>1.66</v>
      </c>
      <c r="F49" s="81">
        <v>0</v>
      </c>
      <c r="G49" s="85">
        <v>5.0000000000000001E-3</v>
      </c>
      <c r="H49" s="85">
        <v>5.0000000000000001E-3</v>
      </c>
      <c r="I49" s="85">
        <v>5.0000000000000001E-3</v>
      </c>
      <c r="J49" s="81">
        <v>0.17</v>
      </c>
      <c r="K49" s="88">
        <v>0.5</v>
      </c>
      <c r="L49" s="88">
        <v>0.5</v>
      </c>
      <c r="M49" s="88">
        <v>0.5</v>
      </c>
      <c r="N49" s="88">
        <v>0.5</v>
      </c>
      <c r="O49" s="88">
        <v>0.5</v>
      </c>
      <c r="P49" s="88">
        <v>0.5</v>
      </c>
      <c r="Q49" s="88">
        <v>0</v>
      </c>
      <c r="R49" s="97">
        <v>0.5</v>
      </c>
      <c r="S49" s="81">
        <v>0.5</v>
      </c>
      <c r="T49" s="81">
        <v>0.5</v>
      </c>
      <c r="U49" s="85">
        <v>0</v>
      </c>
      <c r="V49" s="91">
        <f t="shared" si="0"/>
        <v>-3.6299999999999999E-2</v>
      </c>
      <c r="W49" s="100">
        <f t="shared" si="1"/>
        <v>-3.63</v>
      </c>
      <c r="X49" s="90">
        <v>4.13</v>
      </c>
      <c r="Y49"/>
    </row>
    <row r="50" spans="1:25" ht="19.95" customHeight="1" x14ac:dyDescent="0.35">
      <c r="A50" s="109" t="s">
        <v>803</v>
      </c>
      <c r="B50" s="74">
        <v>590</v>
      </c>
      <c r="C50" s="78" t="s">
        <v>843</v>
      </c>
      <c r="D50" s="81">
        <v>1</v>
      </c>
      <c r="E50" s="81">
        <v>1</v>
      </c>
      <c r="F50" s="81">
        <v>0</v>
      </c>
      <c r="G50" s="85">
        <v>0.01</v>
      </c>
      <c r="H50" s="85">
        <v>0.01</v>
      </c>
      <c r="I50" s="85">
        <v>0.01</v>
      </c>
      <c r="J50" s="81">
        <v>1</v>
      </c>
      <c r="K50" s="88">
        <v>1</v>
      </c>
      <c r="L50" s="88">
        <v>0</v>
      </c>
      <c r="M50" s="88">
        <v>0</v>
      </c>
      <c r="N50" s="88">
        <v>1</v>
      </c>
      <c r="O50" s="88">
        <v>1</v>
      </c>
      <c r="P50" s="88">
        <v>1</v>
      </c>
      <c r="Q50" s="88">
        <v>0</v>
      </c>
      <c r="R50" s="97">
        <v>10</v>
      </c>
      <c r="S50" s="81">
        <v>1</v>
      </c>
      <c r="T50" s="81">
        <v>1</v>
      </c>
      <c r="U50" s="85">
        <v>0.01</v>
      </c>
      <c r="V50" s="91">
        <f t="shared" si="0"/>
        <v>-3.1300000000000001E-2</v>
      </c>
      <c r="W50" s="100">
        <f t="shared" si="1"/>
        <v>-3.13</v>
      </c>
      <c r="X50" s="90">
        <v>4.13</v>
      </c>
      <c r="Y50"/>
    </row>
    <row r="51" spans="1:25" ht="19.95" customHeight="1" x14ac:dyDescent="0.35">
      <c r="A51" s="109" t="s">
        <v>804</v>
      </c>
      <c r="B51" s="74">
        <v>590</v>
      </c>
      <c r="C51" s="78">
        <v>1.5</v>
      </c>
      <c r="D51" s="81">
        <v>0.33</v>
      </c>
      <c r="E51" s="81">
        <v>0.33</v>
      </c>
      <c r="F51" s="81">
        <v>0</v>
      </c>
      <c r="G51" s="85">
        <v>3.3E-3</v>
      </c>
      <c r="H51" s="85">
        <v>3.3E-3</v>
      </c>
      <c r="I51" s="85">
        <v>3.3E-3</v>
      </c>
      <c r="J51" s="81">
        <v>5</v>
      </c>
      <c r="K51" s="88">
        <v>0.33</v>
      </c>
      <c r="L51" s="88">
        <v>0.33</v>
      </c>
      <c r="M51" s="88">
        <v>0.33</v>
      </c>
      <c r="N51" s="88">
        <v>0.33</v>
      </c>
      <c r="O51" s="88">
        <v>0.33</v>
      </c>
      <c r="P51" s="88">
        <v>0.33</v>
      </c>
      <c r="Q51" s="88">
        <v>6</v>
      </c>
      <c r="R51" s="97">
        <v>0</v>
      </c>
      <c r="S51" s="81">
        <v>5</v>
      </c>
      <c r="T51" s="81">
        <v>5</v>
      </c>
      <c r="U51" s="85">
        <v>5.0000000000000001E-3</v>
      </c>
      <c r="V51" s="91">
        <f t="shared" si="0"/>
        <v>-3.7999999999999999E-2</v>
      </c>
      <c r="W51" s="100">
        <f t="shared" si="1"/>
        <v>-3.8</v>
      </c>
      <c r="X51" s="90">
        <v>4.13</v>
      </c>
      <c r="Y51"/>
    </row>
    <row r="52" spans="1:25" ht="19.95" customHeight="1" x14ac:dyDescent="0.35">
      <c r="A52" s="110" t="s">
        <v>221</v>
      </c>
      <c r="B52" s="74">
        <v>2950</v>
      </c>
      <c r="C52" s="78">
        <v>2.5</v>
      </c>
      <c r="D52" s="81">
        <v>0.75</v>
      </c>
      <c r="E52" s="81">
        <v>3.75</v>
      </c>
      <c r="F52" s="81">
        <v>0</v>
      </c>
      <c r="G52" s="85">
        <v>3.7499999999999999E-2</v>
      </c>
      <c r="H52" s="85">
        <v>3.7499999999999999E-2</v>
      </c>
      <c r="I52" s="85">
        <v>7.4999999999999997E-3</v>
      </c>
      <c r="J52" s="81">
        <v>0</v>
      </c>
      <c r="K52" s="88">
        <v>0</v>
      </c>
      <c r="L52" s="88">
        <v>0</v>
      </c>
      <c r="M52" s="88">
        <v>0</v>
      </c>
      <c r="N52" s="88">
        <v>0</v>
      </c>
      <c r="O52" s="88">
        <v>0</v>
      </c>
      <c r="P52" s="88">
        <v>0</v>
      </c>
      <c r="Q52" s="88">
        <v>0</v>
      </c>
      <c r="R52" s="97">
        <v>3.75</v>
      </c>
      <c r="S52" s="81">
        <v>3.75</v>
      </c>
      <c r="T52" s="81">
        <v>3.75</v>
      </c>
      <c r="U52" s="85">
        <v>7.4999999999999997E-3</v>
      </c>
      <c r="V52" s="160">
        <f t="shared" si="0"/>
        <v>-1.61E-2</v>
      </c>
      <c r="W52" s="161">
        <f t="shared" si="1"/>
        <v>1.3900000000000001</v>
      </c>
      <c r="X52" s="90">
        <v>2.36</v>
      </c>
      <c r="Y52"/>
    </row>
    <row r="53" spans="1:25" ht="19.95" customHeight="1" x14ac:dyDescent="0.35">
      <c r="A53" s="110" t="s">
        <v>805</v>
      </c>
      <c r="B53" s="74">
        <v>2950</v>
      </c>
      <c r="C53" s="78">
        <v>2.5</v>
      </c>
      <c r="D53" s="81">
        <v>0.75</v>
      </c>
      <c r="E53" s="81">
        <v>3.75</v>
      </c>
      <c r="F53" s="81">
        <v>0</v>
      </c>
      <c r="G53" s="85">
        <v>3.7499999999999999E-2</v>
      </c>
      <c r="H53" s="85">
        <v>3.7499999999999999E-2</v>
      </c>
      <c r="I53" s="85">
        <v>7.4999999999999997E-3</v>
      </c>
      <c r="J53" s="81">
        <v>0</v>
      </c>
      <c r="K53" s="88">
        <v>0</v>
      </c>
      <c r="L53" s="88">
        <v>0</v>
      </c>
      <c r="M53" s="88">
        <v>0</v>
      </c>
      <c r="N53" s="88">
        <v>0</v>
      </c>
      <c r="O53" s="88">
        <v>0</v>
      </c>
      <c r="P53" s="88">
        <v>0</v>
      </c>
      <c r="Q53" s="88">
        <v>0</v>
      </c>
      <c r="R53" s="97">
        <v>3.75</v>
      </c>
      <c r="S53" s="81">
        <v>3.75</v>
      </c>
      <c r="T53" s="81">
        <v>3.75</v>
      </c>
      <c r="U53" s="85">
        <v>7.4999999999999997E-3</v>
      </c>
      <c r="V53" s="92">
        <f t="shared" si="0"/>
        <v>-1.61E-2</v>
      </c>
      <c r="W53" s="102">
        <f t="shared" si="1"/>
        <v>1.3900000000000001</v>
      </c>
      <c r="X53" s="90">
        <v>2.36</v>
      </c>
      <c r="Y53"/>
    </row>
    <row r="54" spans="1:25" ht="19.95" customHeight="1" x14ac:dyDescent="0.35">
      <c r="A54" s="110" t="s">
        <v>222</v>
      </c>
      <c r="B54" s="74">
        <v>0</v>
      </c>
      <c r="C54" s="78">
        <v>1</v>
      </c>
      <c r="D54" s="81">
        <v>0.5</v>
      </c>
      <c r="E54" s="81">
        <v>2.5</v>
      </c>
      <c r="F54" s="81">
        <v>0</v>
      </c>
      <c r="G54" s="85">
        <v>5.0000000000000001E-3</v>
      </c>
      <c r="H54" s="85">
        <v>5.0000000000000001E-3</v>
      </c>
      <c r="I54" s="85">
        <v>5.0000000000000001E-3</v>
      </c>
      <c r="J54" s="81">
        <v>0</v>
      </c>
      <c r="K54" s="88">
        <v>0</v>
      </c>
      <c r="L54" s="88">
        <v>0</v>
      </c>
      <c r="M54" s="88">
        <v>0</v>
      </c>
      <c r="N54" s="88">
        <v>0</v>
      </c>
      <c r="O54" s="88">
        <v>0</v>
      </c>
      <c r="P54" s="88">
        <v>0</v>
      </c>
      <c r="Q54" s="88">
        <v>0</v>
      </c>
      <c r="R54" s="97">
        <v>1.25</v>
      </c>
      <c r="S54" s="81">
        <v>1.25</v>
      </c>
      <c r="T54" s="81">
        <v>1.25</v>
      </c>
      <c r="U54" s="85">
        <v>5.0000000000000001E-3</v>
      </c>
      <c r="V54" s="91">
        <f t="shared" si="0"/>
        <v>-3.6299999999999999E-2</v>
      </c>
      <c r="W54" s="100">
        <f t="shared" si="1"/>
        <v>-3.63</v>
      </c>
      <c r="X54" s="90">
        <v>4.13</v>
      </c>
      <c r="Y54"/>
    </row>
    <row r="55" spans="1:25" ht="19.95" customHeight="1" x14ac:dyDescent="0.35">
      <c r="A55" s="110" t="s">
        <v>223</v>
      </c>
      <c r="B55" s="74">
        <v>0</v>
      </c>
      <c r="C55" s="78">
        <v>0.7</v>
      </c>
      <c r="D55" s="81">
        <v>0.2</v>
      </c>
      <c r="E55" s="81">
        <v>0.2</v>
      </c>
      <c r="F55" s="81">
        <v>0</v>
      </c>
      <c r="G55" s="85">
        <v>0.01</v>
      </c>
      <c r="H55" s="85">
        <v>0.01</v>
      </c>
      <c r="I55" s="85">
        <v>2E-3</v>
      </c>
      <c r="J55" s="81">
        <v>0</v>
      </c>
      <c r="K55" s="88">
        <v>0</v>
      </c>
      <c r="L55" s="88">
        <v>0</v>
      </c>
      <c r="M55" s="88">
        <v>0</v>
      </c>
      <c r="N55" s="88">
        <v>0</v>
      </c>
      <c r="O55" s="88">
        <v>0</v>
      </c>
      <c r="P55" s="88">
        <v>0</v>
      </c>
      <c r="Q55" s="88">
        <v>0</v>
      </c>
      <c r="R55" s="97">
        <v>1.25</v>
      </c>
      <c r="S55" s="81">
        <v>0</v>
      </c>
      <c r="T55" s="81">
        <v>0</v>
      </c>
      <c r="U55" s="85">
        <v>5.0000000000000001E-3</v>
      </c>
      <c r="V55" s="91">
        <f t="shared" si="0"/>
        <v>-3.9299999999999995E-2</v>
      </c>
      <c r="W55" s="100">
        <f t="shared" si="1"/>
        <v>-3.13</v>
      </c>
      <c r="X55" s="90">
        <v>4.13</v>
      </c>
      <c r="Y55"/>
    </row>
    <row r="56" spans="1:25" ht="19.95" customHeight="1" x14ac:dyDescent="0.35">
      <c r="A56" s="110" t="s">
        <v>806</v>
      </c>
      <c r="B56" s="74">
        <v>295</v>
      </c>
      <c r="C56" s="78" t="s">
        <v>843</v>
      </c>
      <c r="D56" s="81">
        <v>1</v>
      </c>
      <c r="E56" s="81">
        <v>1</v>
      </c>
      <c r="F56" s="81">
        <v>2.5</v>
      </c>
      <c r="G56" s="85">
        <v>0.01</v>
      </c>
      <c r="H56" s="85">
        <v>0.01</v>
      </c>
      <c r="I56" s="85">
        <v>0.01</v>
      </c>
      <c r="J56" s="81">
        <v>0</v>
      </c>
      <c r="K56" s="88">
        <v>0</v>
      </c>
      <c r="L56" s="88">
        <v>0</v>
      </c>
      <c r="M56" s="88">
        <v>0</v>
      </c>
      <c r="N56" s="88">
        <v>0</v>
      </c>
      <c r="O56" s="88">
        <v>0</v>
      </c>
      <c r="P56" s="88">
        <v>0</v>
      </c>
      <c r="Q56" s="88">
        <v>0</v>
      </c>
      <c r="R56" s="97">
        <v>1</v>
      </c>
      <c r="S56" s="81">
        <v>1</v>
      </c>
      <c r="T56" s="81">
        <v>2.5</v>
      </c>
      <c r="U56" s="85">
        <v>0.01</v>
      </c>
      <c r="V56" s="91">
        <f t="shared" si="0"/>
        <v>-3.1300000000000001E-2</v>
      </c>
      <c r="W56" s="100">
        <f t="shared" si="1"/>
        <v>-3.13</v>
      </c>
      <c r="X56" s="90">
        <v>4.13</v>
      </c>
      <c r="Y56"/>
    </row>
    <row r="57" spans="1:25" ht="19.95" customHeight="1" x14ac:dyDescent="0.35">
      <c r="A57" s="110" t="s">
        <v>807</v>
      </c>
      <c r="B57" s="74">
        <v>0</v>
      </c>
      <c r="C57" s="78" t="s">
        <v>843</v>
      </c>
      <c r="D57" s="81">
        <v>0.2</v>
      </c>
      <c r="E57" s="81">
        <v>0.2</v>
      </c>
      <c r="F57" s="81">
        <v>0</v>
      </c>
      <c r="G57" s="85">
        <v>2E-3</v>
      </c>
      <c r="H57" s="85">
        <v>2E-3</v>
      </c>
      <c r="I57" s="85">
        <v>2E-3</v>
      </c>
      <c r="J57" s="81">
        <v>0</v>
      </c>
      <c r="K57" s="88">
        <v>0</v>
      </c>
      <c r="L57" s="88">
        <v>0</v>
      </c>
      <c r="M57" s="88">
        <v>0</v>
      </c>
      <c r="N57" s="88">
        <v>0</v>
      </c>
      <c r="O57" s="88">
        <v>0</v>
      </c>
      <c r="P57" s="88">
        <v>0</v>
      </c>
      <c r="Q57" s="88">
        <v>0</v>
      </c>
      <c r="R57" s="97">
        <v>0.2</v>
      </c>
      <c r="S57" s="81">
        <v>1.25</v>
      </c>
      <c r="T57" s="81">
        <v>1.25</v>
      </c>
      <c r="U57" s="85">
        <v>2E-3</v>
      </c>
      <c r="V57" s="91">
        <f t="shared" si="0"/>
        <v>-3.9299999999999995E-2</v>
      </c>
      <c r="W57" s="100">
        <f t="shared" si="1"/>
        <v>-3.9299999999999997</v>
      </c>
      <c r="X57" s="90">
        <v>4.13</v>
      </c>
      <c r="Y57"/>
    </row>
    <row r="58" spans="1:25" ht="19.95" customHeight="1" x14ac:dyDescent="0.35">
      <c r="A58" s="110" t="s">
        <v>808</v>
      </c>
      <c r="B58" s="74">
        <v>590</v>
      </c>
      <c r="C58" s="78">
        <v>0.35</v>
      </c>
      <c r="D58" s="81">
        <v>0.33</v>
      </c>
      <c r="E58" s="81">
        <v>0.33</v>
      </c>
      <c r="F58" s="81">
        <v>0</v>
      </c>
      <c r="G58" s="85">
        <v>3.3E-3</v>
      </c>
      <c r="H58" s="85">
        <v>3.3E-3</v>
      </c>
      <c r="I58" s="85">
        <v>3.3E-3</v>
      </c>
      <c r="J58" s="81">
        <v>0</v>
      </c>
      <c r="K58" s="88">
        <v>0</v>
      </c>
      <c r="L58" s="88">
        <v>0</v>
      </c>
      <c r="M58" s="88">
        <v>0</v>
      </c>
      <c r="N58" s="88">
        <v>0</v>
      </c>
      <c r="O58" s="88">
        <v>0</v>
      </c>
      <c r="P58" s="88">
        <v>0</v>
      </c>
      <c r="Q58" s="88">
        <v>4</v>
      </c>
      <c r="R58" s="97">
        <v>0.33</v>
      </c>
      <c r="S58" s="81">
        <v>1.67</v>
      </c>
      <c r="T58" s="81">
        <v>1.67</v>
      </c>
      <c r="U58" s="85">
        <v>3.3E-3</v>
      </c>
      <c r="V58" s="91">
        <f t="shared" si="0"/>
        <v>-3.7999999999999999E-2</v>
      </c>
      <c r="W58" s="100">
        <f t="shared" si="1"/>
        <v>-3.8</v>
      </c>
      <c r="X58" s="90">
        <v>4.13</v>
      </c>
      <c r="Y58"/>
    </row>
    <row r="59" spans="1:25" ht="19.95" customHeight="1" x14ac:dyDescent="0.35">
      <c r="A59" s="111" t="s">
        <v>250</v>
      </c>
      <c r="B59" s="74">
        <v>5900</v>
      </c>
      <c r="C59" s="78">
        <v>8</v>
      </c>
      <c r="D59" s="159">
        <v>4</v>
      </c>
      <c r="E59" s="81">
        <v>20</v>
      </c>
      <c r="F59" s="81">
        <v>0</v>
      </c>
      <c r="G59" s="85">
        <v>0.04</v>
      </c>
      <c r="H59" s="85">
        <v>0.04</v>
      </c>
      <c r="I59" s="85">
        <v>0.04</v>
      </c>
      <c r="J59" s="81">
        <v>0</v>
      </c>
      <c r="K59" s="88">
        <v>0</v>
      </c>
      <c r="L59" s="88">
        <v>0</v>
      </c>
      <c r="M59" s="88">
        <v>0</v>
      </c>
      <c r="N59" s="88">
        <v>0</v>
      </c>
      <c r="O59" s="88">
        <v>0</v>
      </c>
      <c r="P59" s="88">
        <v>0</v>
      </c>
      <c r="Q59" s="88">
        <v>0</v>
      </c>
      <c r="R59" s="97">
        <v>10</v>
      </c>
      <c r="S59" s="81">
        <v>4</v>
      </c>
      <c r="T59" s="81">
        <v>4</v>
      </c>
      <c r="U59" s="85">
        <v>0</v>
      </c>
      <c r="V59" s="91">
        <f t="shared" si="0"/>
        <v>-1.2999999999999989E-3</v>
      </c>
      <c r="W59" s="100">
        <f t="shared" si="1"/>
        <v>-0.12999999999999989</v>
      </c>
      <c r="X59" s="90">
        <v>4.13</v>
      </c>
      <c r="Y59"/>
    </row>
    <row r="60" spans="1:25" ht="19.95" customHeight="1" x14ac:dyDescent="0.35">
      <c r="A60" s="111" t="s">
        <v>809</v>
      </c>
      <c r="B60" s="74">
        <v>23600</v>
      </c>
      <c r="C60" s="78" t="s">
        <v>843</v>
      </c>
      <c r="D60" s="81">
        <v>1</v>
      </c>
      <c r="E60" s="81">
        <v>3</v>
      </c>
      <c r="F60" s="81">
        <v>0</v>
      </c>
      <c r="G60" s="85">
        <v>0.03</v>
      </c>
      <c r="H60" s="85">
        <v>0.03</v>
      </c>
      <c r="I60" s="85">
        <v>0.03</v>
      </c>
      <c r="J60" s="81">
        <v>3</v>
      </c>
      <c r="K60" s="88">
        <v>3</v>
      </c>
      <c r="L60" s="88">
        <v>3</v>
      </c>
      <c r="M60" s="88">
        <v>3</v>
      </c>
      <c r="N60" s="88">
        <v>3</v>
      </c>
      <c r="O60" s="88">
        <v>3</v>
      </c>
      <c r="P60" s="88">
        <v>3</v>
      </c>
      <c r="Q60" s="88">
        <v>0</v>
      </c>
      <c r="R60" s="97">
        <v>30</v>
      </c>
      <c r="S60" s="81">
        <v>3</v>
      </c>
      <c r="T60" s="81">
        <v>3</v>
      </c>
      <c r="U60" s="85">
        <v>0</v>
      </c>
      <c r="V60" s="91">
        <f t="shared" si="0"/>
        <v>1.83E-2</v>
      </c>
      <c r="W60" s="100">
        <f t="shared" si="1"/>
        <v>1.83</v>
      </c>
      <c r="X60" s="90">
        <v>1.17</v>
      </c>
      <c r="Y60"/>
    </row>
    <row r="61" spans="1:25" ht="19.95" customHeight="1" x14ac:dyDescent="0.35">
      <c r="A61" s="111" t="s">
        <v>253</v>
      </c>
      <c r="B61" s="74">
        <v>1180</v>
      </c>
      <c r="C61" s="78">
        <v>2</v>
      </c>
      <c r="D61" s="81">
        <v>1.5</v>
      </c>
      <c r="E61" s="81">
        <v>1.5</v>
      </c>
      <c r="F61" s="81">
        <v>0</v>
      </c>
      <c r="G61" s="85">
        <v>1.4999999999999999E-2</v>
      </c>
      <c r="H61" s="85">
        <v>1.4999999999999999E-2</v>
      </c>
      <c r="I61" s="85">
        <v>1.4999999999999999E-2</v>
      </c>
      <c r="J61" s="81">
        <v>1.5</v>
      </c>
      <c r="K61" s="88">
        <v>0</v>
      </c>
      <c r="L61" s="88">
        <v>0</v>
      </c>
      <c r="M61" s="88">
        <v>0</v>
      </c>
      <c r="N61" s="88">
        <v>0</v>
      </c>
      <c r="O61" s="88">
        <v>0</v>
      </c>
      <c r="P61" s="88">
        <v>0</v>
      </c>
      <c r="Q61" s="88">
        <v>0</v>
      </c>
      <c r="R61" s="97">
        <v>10</v>
      </c>
      <c r="S61" s="81">
        <v>10</v>
      </c>
      <c r="T61" s="81">
        <v>10</v>
      </c>
      <c r="U61" s="85">
        <v>0</v>
      </c>
      <c r="V61" s="91">
        <f t="shared" si="0"/>
        <v>-2.63E-2</v>
      </c>
      <c r="W61" s="100">
        <f t="shared" si="1"/>
        <v>-2.63</v>
      </c>
      <c r="X61" s="90">
        <v>4.13</v>
      </c>
      <c r="Y61"/>
    </row>
    <row r="62" spans="1:25" ht="19.95" customHeight="1" x14ac:dyDescent="0.35">
      <c r="A62" s="111" t="s">
        <v>252</v>
      </c>
      <c r="B62" s="74">
        <v>0</v>
      </c>
      <c r="C62" s="78" t="s">
        <v>843</v>
      </c>
      <c r="D62" s="81">
        <v>0.47</v>
      </c>
      <c r="E62" s="81">
        <v>0.67</v>
      </c>
      <c r="F62" s="81">
        <v>0</v>
      </c>
      <c r="G62" s="85">
        <v>4.7000000000000002E-3</v>
      </c>
      <c r="H62" s="85">
        <v>4.7000000000000002E-3</v>
      </c>
      <c r="I62" s="85">
        <v>4.7000000000000002E-3</v>
      </c>
      <c r="J62" s="81">
        <v>0.67</v>
      </c>
      <c r="K62" s="88">
        <v>0.67</v>
      </c>
      <c r="L62" s="88">
        <v>0.67</v>
      </c>
      <c r="M62" s="88">
        <v>0.67</v>
      </c>
      <c r="N62" s="88">
        <v>0.67</v>
      </c>
      <c r="O62" s="88">
        <v>0.67</v>
      </c>
      <c r="P62" s="88">
        <v>0.67</v>
      </c>
      <c r="Q62" s="88">
        <v>0</v>
      </c>
      <c r="R62" s="97">
        <v>0</v>
      </c>
      <c r="S62" s="81">
        <v>0.67</v>
      </c>
      <c r="T62" s="81">
        <v>0.67</v>
      </c>
      <c r="U62" s="85">
        <v>0</v>
      </c>
      <c r="V62" s="91">
        <f t="shared" si="0"/>
        <v>-3.6599999999999994E-2</v>
      </c>
      <c r="W62" s="100">
        <f t="shared" si="1"/>
        <v>-3.6599999999999997</v>
      </c>
      <c r="X62" s="90">
        <v>4.13</v>
      </c>
      <c r="Y62"/>
    </row>
    <row r="63" spans="1:25" ht="19.95" customHeight="1" x14ac:dyDescent="0.35">
      <c r="A63" s="112" t="s">
        <v>346</v>
      </c>
      <c r="B63" s="74">
        <v>5900</v>
      </c>
      <c r="C63" s="78" t="s">
        <v>843</v>
      </c>
      <c r="D63" s="159">
        <v>3.33</v>
      </c>
      <c r="E63" s="81">
        <v>3.3</v>
      </c>
      <c r="F63" s="81">
        <v>0</v>
      </c>
      <c r="G63" s="85">
        <v>3.3000000000000002E-2</v>
      </c>
      <c r="H63" s="85">
        <v>3.3000000000000002E-2</v>
      </c>
      <c r="I63" s="85">
        <v>3.3000000000000002E-2</v>
      </c>
      <c r="J63" s="81">
        <v>3.33</v>
      </c>
      <c r="K63" s="88">
        <v>2</v>
      </c>
      <c r="L63" s="88">
        <v>2</v>
      </c>
      <c r="M63" s="88">
        <v>2</v>
      </c>
      <c r="N63" s="88">
        <v>2</v>
      </c>
      <c r="O63" s="88">
        <v>2</v>
      </c>
      <c r="P63" s="88">
        <v>2</v>
      </c>
      <c r="Q63" s="88">
        <v>0</v>
      </c>
      <c r="R63" s="97">
        <v>3.33</v>
      </c>
      <c r="S63" s="81">
        <v>3.33</v>
      </c>
      <c r="T63" s="81">
        <v>3.33</v>
      </c>
      <c r="U63" s="85">
        <v>0</v>
      </c>
      <c r="V63" s="91">
        <f t="shared" si="0"/>
        <v>9.4000000000000038E-3</v>
      </c>
      <c r="W63" s="100">
        <f t="shared" si="1"/>
        <v>0.94000000000000039</v>
      </c>
      <c r="X63" s="90">
        <v>2.36</v>
      </c>
      <c r="Y63"/>
    </row>
    <row r="64" spans="1:25" ht="19.95" customHeight="1" x14ac:dyDescent="0.35">
      <c r="A64" s="112" t="s">
        <v>347</v>
      </c>
      <c r="B64" s="74">
        <v>413</v>
      </c>
      <c r="C64" s="78">
        <v>0.5</v>
      </c>
      <c r="D64" s="81">
        <v>0.5</v>
      </c>
      <c r="E64" s="81">
        <v>25</v>
      </c>
      <c r="F64" s="81">
        <v>0</v>
      </c>
      <c r="G64" s="85">
        <v>5.0000000000000001E-3</v>
      </c>
      <c r="H64" s="85">
        <v>5.0000000000000001E-3</v>
      </c>
      <c r="I64" s="85">
        <v>5.0000000000000001E-3</v>
      </c>
      <c r="J64" s="81">
        <v>0.5</v>
      </c>
      <c r="K64" s="88">
        <v>0.5</v>
      </c>
      <c r="L64" s="88">
        <v>0.5</v>
      </c>
      <c r="M64" s="88">
        <v>0.5</v>
      </c>
      <c r="N64" s="88">
        <v>0.5</v>
      </c>
      <c r="O64" s="88">
        <v>0.5</v>
      </c>
      <c r="P64" s="88">
        <v>0.5</v>
      </c>
      <c r="Q64" s="88">
        <v>0</v>
      </c>
      <c r="R64" s="97">
        <v>0.5</v>
      </c>
      <c r="S64" s="81">
        <v>0.5</v>
      </c>
      <c r="T64" s="81">
        <v>0.5</v>
      </c>
      <c r="U64" s="85">
        <v>0</v>
      </c>
      <c r="V64" s="91">
        <f t="shared" si="0"/>
        <v>-3.6299999999999999E-2</v>
      </c>
      <c r="W64" s="100">
        <f t="shared" si="1"/>
        <v>-3.63</v>
      </c>
      <c r="X64" s="90">
        <v>4.13</v>
      </c>
      <c r="Y64"/>
    </row>
    <row r="65" spans="1:25" ht="19.95" customHeight="1" x14ac:dyDescent="0.35">
      <c r="A65" s="112" t="s">
        <v>810</v>
      </c>
      <c r="B65" s="74">
        <v>590</v>
      </c>
      <c r="C65" s="78">
        <v>1.2</v>
      </c>
      <c r="D65" s="81">
        <v>1</v>
      </c>
      <c r="E65" s="81">
        <v>2</v>
      </c>
      <c r="F65" s="81">
        <v>0</v>
      </c>
      <c r="G65" s="85">
        <v>0.02</v>
      </c>
      <c r="H65" s="85">
        <v>0.02</v>
      </c>
      <c r="I65" s="85">
        <v>0.01</v>
      </c>
      <c r="J65" s="81">
        <v>2</v>
      </c>
      <c r="K65" s="88">
        <v>2</v>
      </c>
      <c r="L65" s="88">
        <v>2</v>
      </c>
      <c r="M65" s="88">
        <v>2</v>
      </c>
      <c r="N65" s="88">
        <v>2</v>
      </c>
      <c r="O65" s="88">
        <v>2</v>
      </c>
      <c r="P65" s="88">
        <v>2</v>
      </c>
      <c r="Q65" s="88">
        <v>0</v>
      </c>
      <c r="R65" s="97">
        <v>2</v>
      </c>
      <c r="S65" s="81">
        <v>2</v>
      </c>
      <c r="T65" s="81">
        <v>2</v>
      </c>
      <c r="U65" s="85">
        <v>0</v>
      </c>
      <c r="V65" s="91">
        <f t="shared" si="0"/>
        <v>-3.1300000000000001E-2</v>
      </c>
      <c r="W65" s="100">
        <f t="shared" si="1"/>
        <v>-2.13</v>
      </c>
      <c r="X65" s="90">
        <v>4.13</v>
      </c>
      <c r="Y65"/>
    </row>
    <row r="66" spans="1:25" ht="19.95" customHeight="1" x14ac:dyDescent="0.35">
      <c r="A66" s="112" t="s">
        <v>811</v>
      </c>
      <c r="B66" s="74">
        <v>1180</v>
      </c>
      <c r="C66" s="78">
        <v>1.5</v>
      </c>
      <c r="D66" s="81">
        <v>1</v>
      </c>
      <c r="E66" s="81">
        <v>2</v>
      </c>
      <c r="F66" s="81">
        <v>0</v>
      </c>
      <c r="G66" s="85">
        <v>0.01</v>
      </c>
      <c r="H66" s="85">
        <v>0.01</v>
      </c>
      <c r="I66" s="85">
        <v>0.01</v>
      </c>
      <c r="J66" s="81">
        <v>2</v>
      </c>
      <c r="K66" s="88">
        <v>1</v>
      </c>
      <c r="L66" s="88">
        <v>0</v>
      </c>
      <c r="M66" s="88">
        <v>0</v>
      </c>
      <c r="N66" s="88">
        <v>0</v>
      </c>
      <c r="O66" s="88">
        <v>0.25</v>
      </c>
      <c r="P66" s="88">
        <v>0</v>
      </c>
      <c r="Q66" s="88">
        <v>0</v>
      </c>
      <c r="R66" s="97">
        <v>1</v>
      </c>
      <c r="S66" s="81">
        <v>2</v>
      </c>
      <c r="T66" s="81">
        <v>2</v>
      </c>
      <c r="U66" s="85">
        <v>0</v>
      </c>
      <c r="V66" s="91">
        <f t="shared" ref="V66:V97" si="2">(I66*100-X66)/100</f>
        <v>-3.1300000000000001E-2</v>
      </c>
      <c r="W66" s="100">
        <f t="shared" ref="W66:W97" si="3">H66*100-X66</f>
        <v>-3.13</v>
      </c>
      <c r="X66" s="90">
        <v>4.13</v>
      </c>
      <c r="Y66"/>
    </row>
    <row r="67" spans="1:25" ht="19.95" customHeight="1" x14ac:dyDescent="0.35">
      <c r="A67" s="112" t="s">
        <v>812</v>
      </c>
      <c r="B67" s="74">
        <v>0</v>
      </c>
      <c r="C67" s="78" t="s">
        <v>843</v>
      </c>
      <c r="D67" s="81">
        <v>0.25</v>
      </c>
      <c r="E67" s="81">
        <v>0.25</v>
      </c>
      <c r="F67" s="81">
        <v>0</v>
      </c>
      <c r="G67" s="85">
        <v>2.5000000000000001E-3</v>
      </c>
      <c r="H67" s="85">
        <v>2.5000000000000001E-3</v>
      </c>
      <c r="I67" s="85">
        <v>2.5000000000000001E-3</v>
      </c>
      <c r="J67" s="81">
        <v>0.25</v>
      </c>
      <c r="K67" s="88">
        <v>0.25</v>
      </c>
      <c r="L67" s="88">
        <v>0.25</v>
      </c>
      <c r="M67" s="88">
        <v>0.25</v>
      </c>
      <c r="N67" s="88">
        <v>0.25</v>
      </c>
      <c r="O67" s="88">
        <v>0.25</v>
      </c>
      <c r="P67" s="88">
        <v>0.25</v>
      </c>
      <c r="Q67" s="88">
        <v>0</v>
      </c>
      <c r="R67" s="97">
        <v>1.25</v>
      </c>
      <c r="S67" s="81">
        <v>0.25</v>
      </c>
      <c r="T67" s="81">
        <v>0.25</v>
      </c>
      <c r="U67" s="85">
        <v>0</v>
      </c>
      <c r="V67" s="91">
        <f t="shared" si="2"/>
        <v>-3.8800000000000001E-2</v>
      </c>
      <c r="W67" s="100">
        <f t="shared" si="3"/>
        <v>-3.88</v>
      </c>
      <c r="X67" s="90">
        <v>4.13</v>
      </c>
      <c r="Y67"/>
    </row>
    <row r="68" spans="1:25" ht="19.95" customHeight="1" x14ac:dyDescent="0.35">
      <c r="A68" s="113" t="s">
        <v>813</v>
      </c>
      <c r="B68" s="74">
        <v>5900</v>
      </c>
      <c r="C68" s="78" t="s">
        <v>843</v>
      </c>
      <c r="D68" s="159">
        <v>2</v>
      </c>
      <c r="E68" s="81">
        <v>12</v>
      </c>
      <c r="F68" s="81">
        <v>0</v>
      </c>
      <c r="G68" s="85">
        <v>0.123</v>
      </c>
      <c r="H68" s="85">
        <v>0.1</v>
      </c>
      <c r="I68" s="85">
        <v>0.1</v>
      </c>
      <c r="J68" s="81">
        <v>0</v>
      </c>
      <c r="K68" s="88">
        <v>12</v>
      </c>
      <c r="L68" s="88">
        <v>12</v>
      </c>
      <c r="M68" s="88">
        <v>12</v>
      </c>
      <c r="N68" s="88">
        <v>12</v>
      </c>
      <c r="O68" s="88">
        <v>12</v>
      </c>
      <c r="P68" s="88">
        <v>12</v>
      </c>
      <c r="Q68" s="88">
        <v>0</v>
      </c>
      <c r="R68" s="97">
        <v>20</v>
      </c>
      <c r="S68" s="81">
        <v>10</v>
      </c>
      <c r="T68" s="81">
        <v>10</v>
      </c>
      <c r="U68" s="85">
        <v>0</v>
      </c>
      <c r="V68" s="91">
        <f t="shared" si="2"/>
        <v>5.8700000000000002E-2</v>
      </c>
      <c r="W68" s="100">
        <f t="shared" si="3"/>
        <v>5.87</v>
      </c>
      <c r="X68" s="90">
        <v>4.13</v>
      </c>
      <c r="Y68"/>
    </row>
    <row r="69" spans="1:25" ht="19.95" customHeight="1" x14ac:dyDescent="0.35">
      <c r="A69" s="113" t="s">
        <v>122</v>
      </c>
      <c r="B69" s="74">
        <v>5310</v>
      </c>
      <c r="C69" s="78" t="s">
        <v>843</v>
      </c>
      <c r="D69" s="81">
        <v>2</v>
      </c>
      <c r="E69" s="81">
        <v>18.670000000000002</v>
      </c>
      <c r="F69" s="81">
        <v>0</v>
      </c>
      <c r="G69" s="85">
        <v>0.1867</v>
      </c>
      <c r="H69" s="85">
        <v>0.1867</v>
      </c>
      <c r="I69" s="85">
        <v>0.1867</v>
      </c>
      <c r="J69" s="81">
        <v>18.670000000000002</v>
      </c>
      <c r="K69" s="81">
        <v>18</v>
      </c>
      <c r="L69" s="88">
        <v>18</v>
      </c>
      <c r="M69" s="88">
        <v>18</v>
      </c>
      <c r="N69" s="88">
        <v>18</v>
      </c>
      <c r="O69" s="88">
        <v>18</v>
      </c>
      <c r="P69" s="88">
        <v>18</v>
      </c>
      <c r="Q69" s="88">
        <v>18.670000000000002</v>
      </c>
      <c r="R69" s="97">
        <v>20</v>
      </c>
      <c r="S69" s="81">
        <v>18</v>
      </c>
      <c r="T69" s="81">
        <v>18</v>
      </c>
      <c r="U69" s="85">
        <v>0</v>
      </c>
      <c r="V69" s="91">
        <v>0.1454</v>
      </c>
      <c r="W69" s="100">
        <f>H69*100-X69</f>
        <v>14.540000000000003</v>
      </c>
      <c r="X69" s="90">
        <v>4.13</v>
      </c>
      <c r="Y69"/>
    </row>
    <row r="70" spans="1:25" ht="19.95" customHeight="1" x14ac:dyDescent="0.35">
      <c r="A70" s="113" t="s">
        <v>124</v>
      </c>
      <c r="B70" s="74">
        <v>5310</v>
      </c>
      <c r="C70" s="78">
        <v>1.5</v>
      </c>
      <c r="D70" s="81">
        <v>2</v>
      </c>
      <c r="E70" s="81">
        <v>18.670000000000002</v>
      </c>
      <c r="F70" s="81">
        <v>0</v>
      </c>
      <c r="G70" s="85">
        <v>0.1867</v>
      </c>
      <c r="H70" s="85">
        <v>0.1867</v>
      </c>
      <c r="I70" s="85">
        <v>0.1867</v>
      </c>
      <c r="J70" s="81">
        <v>0</v>
      </c>
      <c r="K70" s="88">
        <v>18</v>
      </c>
      <c r="L70" s="88">
        <v>18</v>
      </c>
      <c r="M70" s="88">
        <v>18</v>
      </c>
      <c r="N70" s="88">
        <v>18</v>
      </c>
      <c r="O70" s="88">
        <v>18</v>
      </c>
      <c r="P70" s="88">
        <v>18</v>
      </c>
      <c r="Q70" s="88">
        <v>0</v>
      </c>
      <c r="R70" s="97">
        <v>20</v>
      </c>
      <c r="S70" s="81">
        <v>18</v>
      </c>
      <c r="T70" s="81">
        <v>18</v>
      </c>
      <c r="U70" s="85">
        <v>0</v>
      </c>
      <c r="V70" s="91">
        <f t="shared" si="2"/>
        <v>0.14540000000000003</v>
      </c>
      <c r="W70" s="100">
        <f t="shared" si="3"/>
        <v>14.540000000000003</v>
      </c>
      <c r="X70" s="90">
        <v>4.13</v>
      </c>
      <c r="Y70"/>
    </row>
    <row r="71" spans="1:25" ht="19.95" customHeight="1" x14ac:dyDescent="0.35">
      <c r="A71" s="114" t="s">
        <v>842</v>
      </c>
      <c r="B71" s="162">
        <v>0</v>
      </c>
      <c r="C71" s="78" t="s">
        <v>843</v>
      </c>
      <c r="D71" s="81">
        <v>0.7</v>
      </c>
      <c r="E71" s="81">
        <v>1</v>
      </c>
      <c r="F71" s="81">
        <v>0</v>
      </c>
      <c r="G71" s="85">
        <v>7.0000000000000001E-3</v>
      </c>
      <c r="H71" s="85">
        <v>7.0000000000000001E-3</v>
      </c>
      <c r="I71" s="85">
        <v>7.0000000000000001E-3</v>
      </c>
      <c r="J71" s="81">
        <v>0.7</v>
      </c>
      <c r="K71" s="88">
        <v>0</v>
      </c>
      <c r="L71" s="88">
        <v>0</v>
      </c>
      <c r="M71" s="88">
        <v>0</v>
      </c>
      <c r="N71" s="88">
        <v>0</v>
      </c>
      <c r="O71" s="88">
        <v>0</v>
      </c>
      <c r="P71" s="88">
        <v>0</v>
      </c>
      <c r="Q71" s="88">
        <v>0</v>
      </c>
      <c r="R71" s="97">
        <v>0</v>
      </c>
      <c r="S71" s="81">
        <v>0.7</v>
      </c>
      <c r="T71" s="81">
        <v>0.7</v>
      </c>
      <c r="U71" s="85">
        <v>7.0000000000000001E-3</v>
      </c>
      <c r="V71" s="91">
        <f t="shared" si="2"/>
        <v>-3.4299999999999997E-2</v>
      </c>
      <c r="W71" s="100">
        <f t="shared" si="3"/>
        <v>-3.4299999999999997</v>
      </c>
      <c r="X71" s="90">
        <v>4.13</v>
      </c>
      <c r="Y71"/>
    </row>
    <row r="72" spans="1:25" ht="19.95" customHeight="1" x14ac:dyDescent="0.35">
      <c r="A72" s="114" t="s">
        <v>814</v>
      </c>
      <c r="B72" s="74">
        <v>2360</v>
      </c>
      <c r="C72" s="78" t="s">
        <v>843</v>
      </c>
      <c r="D72" s="81">
        <v>0.8</v>
      </c>
      <c r="E72" s="81">
        <v>0.8</v>
      </c>
      <c r="F72" s="81">
        <v>0</v>
      </c>
      <c r="G72" s="85">
        <v>0.02</v>
      </c>
      <c r="H72" s="85">
        <v>0.02</v>
      </c>
      <c r="I72" s="85">
        <v>0.02</v>
      </c>
      <c r="J72" s="81">
        <v>0.8</v>
      </c>
      <c r="K72" s="88">
        <v>0</v>
      </c>
      <c r="L72" s="88">
        <v>0</v>
      </c>
      <c r="M72" s="88">
        <v>0</v>
      </c>
      <c r="N72" s="88">
        <v>0.8</v>
      </c>
      <c r="O72" s="88">
        <v>0.8</v>
      </c>
      <c r="P72" s="88">
        <v>0.8</v>
      </c>
      <c r="Q72" s="88">
        <v>0</v>
      </c>
      <c r="R72" s="97">
        <v>50</v>
      </c>
      <c r="S72" s="81">
        <v>0.8</v>
      </c>
      <c r="T72" s="81">
        <v>0.8</v>
      </c>
      <c r="U72" s="85">
        <v>0</v>
      </c>
      <c r="V72" s="91">
        <f t="shared" si="2"/>
        <v>-2.1299999999999999E-2</v>
      </c>
      <c r="W72" s="100">
        <f t="shared" si="3"/>
        <v>-2.13</v>
      </c>
      <c r="X72" s="90">
        <v>4.13</v>
      </c>
      <c r="Y72"/>
    </row>
    <row r="73" spans="1:25" ht="19.95" customHeight="1" x14ac:dyDescent="0.35">
      <c r="A73" s="114" t="s">
        <v>815</v>
      </c>
      <c r="B73" s="74">
        <v>0</v>
      </c>
      <c r="C73" s="78" t="s">
        <v>843</v>
      </c>
      <c r="D73" s="81">
        <v>1</v>
      </c>
      <c r="E73" s="81">
        <v>1.5</v>
      </c>
      <c r="F73" s="81">
        <v>0</v>
      </c>
      <c r="G73" s="85">
        <v>2.5000000000000001E-2</v>
      </c>
      <c r="H73" s="85">
        <v>1.4999999999999999E-2</v>
      </c>
      <c r="I73" s="85">
        <v>1.4999999999999999E-2</v>
      </c>
      <c r="J73" s="81">
        <v>0.7</v>
      </c>
      <c r="K73" s="88">
        <v>0.7</v>
      </c>
      <c r="L73" s="88">
        <v>0</v>
      </c>
      <c r="M73" s="88">
        <v>0</v>
      </c>
      <c r="N73" s="88">
        <v>0.7</v>
      </c>
      <c r="O73" s="88">
        <v>0.7</v>
      </c>
      <c r="P73" s="88">
        <v>0.7</v>
      </c>
      <c r="Q73" s="88">
        <v>0</v>
      </c>
      <c r="R73" s="97">
        <v>1</v>
      </c>
      <c r="S73" s="81">
        <v>2.5</v>
      </c>
      <c r="T73" s="81">
        <v>2.5</v>
      </c>
      <c r="U73" s="85">
        <v>0</v>
      </c>
      <c r="V73" s="91">
        <f t="shared" si="2"/>
        <v>-2.63E-2</v>
      </c>
      <c r="W73" s="100">
        <f t="shared" si="3"/>
        <v>-2.63</v>
      </c>
      <c r="X73" s="90">
        <v>4.13</v>
      </c>
      <c r="Y73"/>
    </row>
    <row r="74" spans="1:25" ht="19.95" customHeight="1" x14ac:dyDescent="0.35">
      <c r="A74" s="114" t="s">
        <v>816</v>
      </c>
      <c r="B74" s="74">
        <v>0</v>
      </c>
      <c r="C74" s="78" t="s">
        <v>843</v>
      </c>
      <c r="D74" s="81">
        <v>1.2</v>
      </c>
      <c r="E74" s="81">
        <v>1.2</v>
      </c>
      <c r="F74" s="81">
        <v>0</v>
      </c>
      <c r="G74" s="85">
        <v>1.2E-2</v>
      </c>
      <c r="H74" s="85">
        <v>1.2E-2</v>
      </c>
      <c r="I74" s="85">
        <v>1.2E-2</v>
      </c>
      <c r="J74" s="81">
        <v>1.2</v>
      </c>
      <c r="K74" s="88">
        <v>1.2</v>
      </c>
      <c r="L74" s="88">
        <v>1.2</v>
      </c>
      <c r="M74" s="88">
        <v>1.2</v>
      </c>
      <c r="N74" s="88">
        <v>1.2</v>
      </c>
      <c r="O74" s="88">
        <v>1.2</v>
      </c>
      <c r="P74" s="88">
        <v>1.2</v>
      </c>
      <c r="Q74" s="88">
        <v>0</v>
      </c>
      <c r="R74" s="97">
        <v>1.2</v>
      </c>
      <c r="S74" s="81">
        <v>1.2</v>
      </c>
      <c r="T74" s="81">
        <v>1.2</v>
      </c>
      <c r="U74" s="85">
        <v>0</v>
      </c>
      <c r="V74" s="91">
        <f t="shared" si="2"/>
        <v>3.0000000000000024E-4</v>
      </c>
      <c r="W74" s="100">
        <f t="shared" si="3"/>
        <v>3.0000000000000027E-2</v>
      </c>
      <c r="X74" s="90">
        <v>1.17</v>
      </c>
      <c r="Y74"/>
    </row>
    <row r="75" spans="1:25" ht="19.95" customHeight="1" x14ac:dyDescent="0.35">
      <c r="A75" s="115" t="s">
        <v>817</v>
      </c>
      <c r="B75" s="74">
        <v>5900</v>
      </c>
      <c r="C75" s="78">
        <v>10</v>
      </c>
      <c r="D75" s="81">
        <v>2.25</v>
      </c>
      <c r="E75" s="81">
        <v>4.5</v>
      </c>
      <c r="F75" s="81">
        <v>0</v>
      </c>
      <c r="G75" s="85">
        <v>4.4999999999999998E-2</v>
      </c>
      <c r="H75" s="85">
        <v>4.4999999999999998E-2</v>
      </c>
      <c r="I75" s="85">
        <v>2.2499999999999999E-2</v>
      </c>
      <c r="J75" s="81">
        <v>1.25</v>
      </c>
      <c r="K75" s="88">
        <v>1.25</v>
      </c>
      <c r="L75" s="88">
        <v>0</v>
      </c>
      <c r="M75" s="88">
        <v>0</v>
      </c>
      <c r="N75" s="88">
        <v>1.25</v>
      </c>
      <c r="O75" s="88">
        <v>1.25</v>
      </c>
      <c r="P75" s="88">
        <v>1.25</v>
      </c>
      <c r="Q75" s="88">
        <v>0</v>
      </c>
      <c r="R75" s="97">
        <v>4.5</v>
      </c>
      <c r="S75" s="81">
        <v>4.5</v>
      </c>
      <c r="T75" s="81">
        <v>4.5</v>
      </c>
      <c r="U75" s="85">
        <v>0</v>
      </c>
      <c r="V75" s="91">
        <f t="shared" si="2"/>
        <v>1.0700000000000001E-2</v>
      </c>
      <c r="W75" s="100">
        <f t="shared" si="3"/>
        <v>3.3200000000000003</v>
      </c>
      <c r="X75" s="90">
        <v>1.18</v>
      </c>
      <c r="Y75"/>
    </row>
    <row r="76" spans="1:25" ht="19.95" customHeight="1" x14ac:dyDescent="0.35">
      <c r="A76" s="115" t="s">
        <v>818</v>
      </c>
      <c r="B76" s="74">
        <v>2360</v>
      </c>
      <c r="C76" s="78">
        <v>3</v>
      </c>
      <c r="D76" s="81">
        <v>1.5</v>
      </c>
      <c r="E76" s="81">
        <v>3</v>
      </c>
      <c r="F76" s="81">
        <v>0</v>
      </c>
      <c r="G76" s="85">
        <v>0.03</v>
      </c>
      <c r="H76" s="85">
        <v>0.03</v>
      </c>
      <c r="I76" s="85">
        <v>1.4999999999999999E-2</v>
      </c>
      <c r="J76" s="81">
        <v>0.75</v>
      </c>
      <c r="K76" s="88">
        <v>0.75</v>
      </c>
      <c r="L76" s="88">
        <v>0</v>
      </c>
      <c r="M76" s="88">
        <v>0</v>
      </c>
      <c r="N76" s="88">
        <v>0.75</v>
      </c>
      <c r="O76" s="88">
        <v>0.75</v>
      </c>
      <c r="P76" s="88">
        <v>0.75</v>
      </c>
      <c r="Q76" s="88">
        <v>0</v>
      </c>
      <c r="R76" s="97">
        <v>3</v>
      </c>
      <c r="S76" s="81">
        <v>3</v>
      </c>
      <c r="T76" s="81">
        <v>3</v>
      </c>
      <c r="U76" s="85">
        <v>0</v>
      </c>
      <c r="V76" s="91">
        <f t="shared" si="2"/>
        <v>-5.6000000000000008E-3</v>
      </c>
      <c r="W76" s="100">
        <f t="shared" si="3"/>
        <v>0.94</v>
      </c>
      <c r="X76" s="90">
        <v>2.06</v>
      </c>
      <c r="Y76"/>
    </row>
    <row r="77" spans="1:25" ht="19.95" customHeight="1" x14ac:dyDescent="0.35">
      <c r="A77" s="115" t="s">
        <v>819</v>
      </c>
      <c r="B77" s="74">
        <v>1180</v>
      </c>
      <c r="C77" s="78">
        <v>2</v>
      </c>
      <c r="D77" s="81">
        <v>0.75</v>
      </c>
      <c r="E77" s="81">
        <v>1.5</v>
      </c>
      <c r="F77" s="81">
        <v>0</v>
      </c>
      <c r="G77" s="85">
        <v>1.4999999999999999E-2</v>
      </c>
      <c r="H77" s="85">
        <v>1.4999999999999999E-2</v>
      </c>
      <c r="I77" s="85">
        <v>7.4999999999999997E-3</v>
      </c>
      <c r="J77" s="81">
        <v>0.5</v>
      </c>
      <c r="K77" s="88">
        <v>0.5</v>
      </c>
      <c r="L77" s="88">
        <v>0</v>
      </c>
      <c r="M77" s="88">
        <v>0</v>
      </c>
      <c r="N77" s="88">
        <v>0.5</v>
      </c>
      <c r="O77" s="88">
        <v>0.5</v>
      </c>
      <c r="P77" s="88">
        <v>0.5</v>
      </c>
      <c r="Q77" s="88">
        <v>0</v>
      </c>
      <c r="R77" s="97">
        <v>1.5</v>
      </c>
      <c r="S77" s="81">
        <v>1.5</v>
      </c>
      <c r="T77" s="81">
        <v>1.5</v>
      </c>
      <c r="U77" s="85">
        <v>0</v>
      </c>
      <c r="V77" s="91">
        <f t="shared" si="2"/>
        <v>-2.4900000000000002E-2</v>
      </c>
      <c r="W77" s="100">
        <f t="shared" si="3"/>
        <v>-1.7400000000000002</v>
      </c>
      <c r="X77" s="90">
        <v>3.24</v>
      </c>
      <c r="Y77"/>
    </row>
    <row r="78" spans="1:25" ht="19.95" customHeight="1" x14ac:dyDescent="0.35">
      <c r="A78" s="115" t="s">
        <v>820</v>
      </c>
      <c r="B78" s="74">
        <v>590</v>
      </c>
      <c r="C78" s="78">
        <v>0.5</v>
      </c>
      <c r="D78" s="81">
        <v>0.5</v>
      </c>
      <c r="E78" s="81">
        <v>1</v>
      </c>
      <c r="F78" s="81">
        <v>0</v>
      </c>
      <c r="G78" s="85">
        <v>0.01</v>
      </c>
      <c r="H78" s="85">
        <v>0.01</v>
      </c>
      <c r="I78" s="85">
        <v>5.0000000000000001E-3</v>
      </c>
      <c r="J78" s="81">
        <v>0.25</v>
      </c>
      <c r="K78" s="88">
        <v>0.25</v>
      </c>
      <c r="L78" s="88">
        <v>0</v>
      </c>
      <c r="M78" s="88">
        <v>0</v>
      </c>
      <c r="N78" s="88">
        <v>0.25</v>
      </c>
      <c r="O78" s="88">
        <v>0.25</v>
      </c>
      <c r="P78" s="88">
        <v>0.25</v>
      </c>
      <c r="Q78" s="88">
        <v>0</v>
      </c>
      <c r="R78" s="97">
        <v>0.75</v>
      </c>
      <c r="S78" s="81">
        <v>1</v>
      </c>
      <c r="T78" s="81">
        <v>1</v>
      </c>
      <c r="U78" s="85">
        <v>0</v>
      </c>
      <c r="V78" s="91">
        <f t="shared" si="2"/>
        <v>-2.7400000000000001E-2</v>
      </c>
      <c r="W78" s="100">
        <f t="shared" si="3"/>
        <v>-2.2400000000000002</v>
      </c>
      <c r="X78" s="90">
        <v>3.24</v>
      </c>
      <c r="Y78"/>
    </row>
    <row r="79" spans="1:25" ht="19.95" customHeight="1" x14ac:dyDescent="0.35">
      <c r="A79" s="115" t="s">
        <v>565</v>
      </c>
      <c r="B79" s="74">
        <v>1180</v>
      </c>
      <c r="C79" s="78">
        <v>3</v>
      </c>
      <c r="D79" s="81">
        <v>1</v>
      </c>
      <c r="E79" s="81">
        <v>2</v>
      </c>
      <c r="F79" s="81">
        <v>0</v>
      </c>
      <c r="G79" s="85">
        <v>0.02</v>
      </c>
      <c r="H79" s="85">
        <v>0.02</v>
      </c>
      <c r="I79" s="85">
        <v>0.01</v>
      </c>
      <c r="J79" s="81">
        <v>0.5</v>
      </c>
      <c r="K79" s="88">
        <v>0.5</v>
      </c>
      <c r="L79" s="88">
        <v>0</v>
      </c>
      <c r="M79" s="88">
        <v>0</v>
      </c>
      <c r="N79" s="88">
        <v>0.5</v>
      </c>
      <c r="O79" s="88">
        <v>0.5</v>
      </c>
      <c r="P79" s="88">
        <v>0.5</v>
      </c>
      <c r="Q79" s="88">
        <v>0</v>
      </c>
      <c r="R79" s="97">
        <v>2</v>
      </c>
      <c r="S79" s="81">
        <v>2</v>
      </c>
      <c r="T79" s="81">
        <v>2</v>
      </c>
      <c r="U79" s="85">
        <v>0</v>
      </c>
      <c r="V79" s="91">
        <f t="shared" si="2"/>
        <v>-1.06E-2</v>
      </c>
      <c r="W79" s="100">
        <f t="shared" si="3"/>
        <v>-6.0000000000000053E-2</v>
      </c>
      <c r="X79" s="90">
        <v>2.06</v>
      </c>
      <c r="Y79"/>
    </row>
    <row r="80" spans="1:25" ht="19.95" customHeight="1" x14ac:dyDescent="0.35">
      <c r="A80" s="116" t="s">
        <v>821</v>
      </c>
      <c r="B80" s="74">
        <v>1770</v>
      </c>
      <c r="C80" s="78">
        <v>2.75</v>
      </c>
      <c r="D80" s="81">
        <v>1</v>
      </c>
      <c r="E80" s="81">
        <v>1</v>
      </c>
      <c r="F80" s="81">
        <v>0</v>
      </c>
      <c r="G80" s="85">
        <v>0.01</v>
      </c>
      <c r="H80" s="85">
        <v>0.01</v>
      </c>
      <c r="I80" s="85">
        <v>0.01</v>
      </c>
      <c r="J80" s="81">
        <v>1</v>
      </c>
      <c r="K80" s="88">
        <v>0</v>
      </c>
      <c r="L80" s="88">
        <v>0</v>
      </c>
      <c r="M80" s="88">
        <v>0</v>
      </c>
      <c r="N80" s="88">
        <v>0</v>
      </c>
      <c r="O80" s="88">
        <v>0</v>
      </c>
      <c r="P80" s="88">
        <v>0</v>
      </c>
      <c r="Q80" s="88">
        <v>7.5</v>
      </c>
      <c r="R80" s="97">
        <v>0</v>
      </c>
      <c r="S80" s="81">
        <v>1</v>
      </c>
      <c r="T80" s="81">
        <v>1</v>
      </c>
      <c r="U80" s="85">
        <v>0.01</v>
      </c>
      <c r="V80" s="91">
        <f t="shared" si="2"/>
        <v>-3.1300000000000001E-2</v>
      </c>
      <c r="W80" s="100">
        <f t="shared" si="3"/>
        <v>-3.13</v>
      </c>
      <c r="X80" s="90">
        <v>4.13</v>
      </c>
      <c r="Y80"/>
    </row>
    <row r="81" spans="1:25" ht="19.95" customHeight="1" x14ac:dyDescent="0.35">
      <c r="A81" s="116" t="s">
        <v>822</v>
      </c>
      <c r="B81" s="74">
        <v>3540</v>
      </c>
      <c r="C81" s="78" t="s">
        <v>843</v>
      </c>
      <c r="D81" s="81">
        <v>0.5</v>
      </c>
      <c r="E81" s="81">
        <v>1.2</v>
      </c>
      <c r="F81" s="81">
        <v>0</v>
      </c>
      <c r="G81" s="85">
        <v>5.0000000000000001E-3</v>
      </c>
      <c r="H81" s="85">
        <v>5.0000000000000001E-3</v>
      </c>
      <c r="I81" s="85">
        <v>5.0000000000000001E-3</v>
      </c>
      <c r="J81" s="81">
        <v>0.5</v>
      </c>
      <c r="K81" s="88">
        <v>0.5</v>
      </c>
      <c r="L81" s="88">
        <v>0.5</v>
      </c>
      <c r="M81" s="88">
        <v>0.5</v>
      </c>
      <c r="N81" s="88">
        <v>0.5</v>
      </c>
      <c r="O81" s="88">
        <v>0.5</v>
      </c>
      <c r="P81" s="88">
        <v>0.5</v>
      </c>
      <c r="Q81" s="88">
        <v>0</v>
      </c>
      <c r="R81" s="97">
        <v>0.5</v>
      </c>
      <c r="S81" s="81">
        <v>0.5</v>
      </c>
      <c r="T81" s="81">
        <v>0.5</v>
      </c>
      <c r="U81" s="85">
        <v>0</v>
      </c>
      <c r="V81" s="91">
        <f t="shared" si="2"/>
        <v>5.0000000000000001E-3</v>
      </c>
      <c r="W81" s="100">
        <f t="shared" si="3"/>
        <v>0.5</v>
      </c>
      <c r="X81" s="90">
        <v>0</v>
      </c>
      <c r="Y81"/>
    </row>
    <row r="82" spans="1:25" ht="19.95" customHeight="1" x14ac:dyDescent="0.35">
      <c r="A82" s="116" t="s">
        <v>823</v>
      </c>
      <c r="B82" s="74">
        <v>0</v>
      </c>
      <c r="C82" s="78" t="s">
        <v>843</v>
      </c>
      <c r="D82" s="81">
        <v>0.25</v>
      </c>
      <c r="E82" s="81">
        <v>0.25</v>
      </c>
      <c r="F82" s="81">
        <v>0</v>
      </c>
      <c r="G82" s="85">
        <v>2.5000000000000001E-3</v>
      </c>
      <c r="H82" s="85">
        <v>2.5000000000000001E-3</v>
      </c>
      <c r="I82" s="85">
        <v>2.5000000000000001E-3</v>
      </c>
      <c r="J82" s="81">
        <v>0.25</v>
      </c>
      <c r="K82" s="88">
        <v>0.25</v>
      </c>
      <c r="L82" s="88">
        <v>0.25</v>
      </c>
      <c r="M82" s="88">
        <v>0.25</v>
      </c>
      <c r="N82" s="88">
        <v>0.25</v>
      </c>
      <c r="O82" s="88">
        <v>0.25</v>
      </c>
      <c r="P82" s="88">
        <v>0.25</v>
      </c>
      <c r="Q82" s="88">
        <v>0</v>
      </c>
      <c r="R82" s="97">
        <v>0.2</v>
      </c>
      <c r="S82" s="81">
        <v>5</v>
      </c>
      <c r="T82" s="81">
        <v>5</v>
      </c>
      <c r="U82" s="85">
        <v>2.5000000000000001E-3</v>
      </c>
      <c r="V82" s="91">
        <f t="shared" si="2"/>
        <v>-3.8800000000000001E-2</v>
      </c>
      <c r="W82" s="100">
        <f t="shared" si="3"/>
        <v>-3.88</v>
      </c>
      <c r="X82" s="90">
        <v>4.13</v>
      </c>
      <c r="Y82"/>
    </row>
    <row r="83" spans="1:25" ht="19.95" customHeight="1" x14ac:dyDescent="0.35">
      <c r="A83" s="117" t="s">
        <v>824</v>
      </c>
      <c r="B83" s="74">
        <v>590</v>
      </c>
      <c r="C83" s="78">
        <v>2</v>
      </c>
      <c r="D83" s="81">
        <v>1.25</v>
      </c>
      <c r="E83" s="81">
        <v>5</v>
      </c>
      <c r="F83" s="81">
        <v>7.5</v>
      </c>
      <c r="G83" s="85">
        <v>1.2500000000000001E-2</v>
      </c>
      <c r="H83" s="85">
        <v>1.2500000000000001E-2</v>
      </c>
      <c r="I83" s="85">
        <v>1.2500000000000001E-2</v>
      </c>
      <c r="J83" s="81">
        <v>1.25</v>
      </c>
      <c r="K83" s="88">
        <v>1.25</v>
      </c>
      <c r="L83" s="88">
        <v>0</v>
      </c>
      <c r="M83" s="88">
        <v>0</v>
      </c>
      <c r="N83" s="88">
        <v>1.25</v>
      </c>
      <c r="O83" s="88">
        <v>1.25</v>
      </c>
      <c r="P83" s="88">
        <v>1.25</v>
      </c>
      <c r="Q83" s="88">
        <v>0</v>
      </c>
      <c r="R83" s="97">
        <v>5</v>
      </c>
      <c r="S83" s="81">
        <v>1.25</v>
      </c>
      <c r="T83" s="81">
        <v>5</v>
      </c>
      <c r="U83" s="85">
        <v>1.2500000000000001E-2</v>
      </c>
      <c r="V83" s="91">
        <f t="shared" si="2"/>
        <v>-2.8799999999999999E-2</v>
      </c>
      <c r="W83" s="100">
        <f t="shared" si="3"/>
        <v>-2.88</v>
      </c>
      <c r="X83" s="90">
        <v>4.13</v>
      </c>
      <c r="Y83"/>
    </row>
    <row r="84" spans="1:25" ht="19.95" customHeight="1" x14ac:dyDescent="0.35">
      <c r="A84" s="117" t="s">
        <v>825</v>
      </c>
      <c r="B84" s="74">
        <v>1180</v>
      </c>
      <c r="C84" s="78">
        <v>3</v>
      </c>
      <c r="D84" s="81">
        <v>2</v>
      </c>
      <c r="E84" s="81">
        <v>5</v>
      </c>
      <c r="F84" s="81">
        <v>0</v>
      </c>
      <c r="G84" s="85">
        <v>0.02</v>
      </c>
      <c r="H84" s="85">
        <v>0.02</v>
      </c>
      <c r="I84" s="85">
        <v>0.02</v>
      </c>
      <c r="J84" s="81">
        <v>2</v>
      </c>
      <c r="K84" s="88">
        <v>0</v>
      </c>
      <c r="L84" s="88">
        <v>0</v>
      </c>
      <c r="M84" s="88">
        <v>0</v>
      </c>
      <c r="N84" s="88">
        <v>2</v>
      </c>
      <c r="O84" s="88">
        <v>2</v>
      </c>
      <c r="P84" s="88">
        <v>2</v>
      </c>
      <c r="Q84" s="88">
        <v>0</v>
      </c>
      <c r="R84" s="97">
        <v>5</v>
      </c>
      <c r="S84" s="81">
        <v>3</v>
      </c>
      <c r="T84" s="81">
        <v>3</v>
      </c>
      <c r="U84" s="85">
        <v>0</v>
      </c>
      <c r="V84" s="91">
        <f t="shared" si="2"/>
        <v>-2.1299999999999999E-2</v>
      </c>
      <c r="W84" s="100">
        <f t="shared" si="3"/>
        <v>-2.13</v>
      </c>
      <c r="X84" s="90">
        <v>4.13</v>
      </c>
      <c r="Y84"/>
    </row>
    <row r="85" spans="1:25" ht="19.95" customHeight="1" x14ac:dyDescent="0.35">
      <c r="A85" s="117" t="s">
        <v>826</v>
      </c>
      <c r="B85" s="74">
        <v>530</v>
      </c>
      <c r="C85" s="78">
        <v>0.5</v>
      </c>
      <c r="D85" s="81">
        <v>0.5</v>
      </c>
      <c r="E85" s="81">
        <v>0.5</v>
      </c>
      <c r="F85" s="81">
        <v>0</v>
      </c>
      <c r="G85" s="85">
        <v>5.0000000000000001E-3</v>
      </c>
      <c r="H85" s="85">
        <v>5.0000000000000001E-3</v>
      </c>
      <c r="I85" s="85">
        <v>5.0000000000000001E-3</v>
      </c>
      <c r="J85" s="81">
        <v>0.5</v>
      </c>
      <c r="K85" s="88">
        <v>0.5</v>
      </c>
      <c r="L85" s="88">
        <v>0.5</v>
      </c>
      <c r="M85" s="88">
        <v>0.5</v>
      </c>
      <c r="N85" s="88">
        <v>0.5</v>
      </c>
      <c r="O85" s="88">
        <v>0.5</v>
      </c>
      <c r="P85" s="88">
        <v>0.5</v>
      </c>
      <c r="Q85" s="88">
        <v>4</v>
      </c>
      <c r="R85" s="97">
        <v>2</v>
      </c>
      <c r="S85" s="81">
        <v>2</v>
      </c>
      <c r="T85" s="81">
        <v>2</v>
      </c>
      <c r="U85" s="85">
        <v>5.0000000000000001E-3</v>
      </c>
      <c r="V85" s="91">
        <f t="shared" si="2"/>
        <v>-3.6299999999999999E-2</v>
      </c>
      <c r="W85" s="100">
        <f t="shared" si="3"/>
        <v>-3.63</v>
      </c>
      <c r="X85" s="90">
        <v>4.13</v>
      </c>
      <c r="Y85"/>
    </row>
    <row r="86" spans="1:25" ht="19.95" customHeight="1" x14ac:dyDescent="0.35">
      <c r="A86" s="117" t="s">
        <v>827</v>
      </c>
      <c r="B86" s="74">
        <v>0</v>
      </c>
      <c r="C86" s="78" t="s">
        <v>843</v>
      </c>
      <c r="D86" s="81">
        <v>0.27</v>
      </c>
      <c r="E86" s="81">
        <v>0.5</v>
      </c>
      <c r="F86" s="81">
        <v>0</v>
      </c>
      <c r="G86" s="85">
        <v>2.7000000000000001E-3</v>
      </c>
      <c r="H86" s="85">
        <v>2.7000000000000001E-3</v>
      </c>
      <c r="I86" s="85">
        <v>2.7000000000000001E-3</v>
      </c>
      <c r="J86" s="81">
        <v>0.27</v>
      </c>
      <c r="K86" s="88">
        <v>0.27</v>
      </c>
      <c r="L86" s="88">
        <v>0</v>
      </c>
      <c r="M86" s="88">
        <v>0</v>
      </c>
      <c r="N86" s="88">
        <v>0.27</v>
      </c>
      <c r="O86" s="88">
        <v>0.27</v>
      </c>
      <c r="P86" s="88">
        <v>0.27</v>
      </c>
      <c r="Q86" s="88">
        <v>0</v>
      </c>
      <c r="R86" s="97">
        <v>0.5</v>
      </c>
      <c r="S86" s="81">
        <v>0.5</v>
      </c>
      <c r="T86" s="81">
        <v>0.5</v>
      </c>
      <c r="U86" s="85">
        <v>2.7000000000000001E-3</v>
      </c>
      <c r="V86" s="91">
        <f t="shared" si="2"/>
        <v>-3.8599999999999995E-2</v>
      </c>
      <c r="W86" s="100">
        <f t="shared" si="3"/>
        <v>-3.86</v>
      </c>
      <c r="X86" s="90">
        <v>4.13</v>
      </c>
      <c r="Y86"/>
    </row>
    <row r="87" spans="1:25" ht="19.95" customHeight="1" x14ac:dyDescent="0.35">
      <c r="A87" s="117" t="s">
        <v>828</v>
      </c>
      <c r="B87" s="74">
        <v>1180</v>
      </c>
      <c r="C87" s="78">
        <v>1.5</v>
      </c>
      <c r="D87" s="81">
        <v>0.83</v>
      </c>
      <c r="E87" s="81">
        <v>0.83</v>
      </c>
      <c r="F87" s="81">
        <v>0</v>
      </c>
      <c r="G87" s="85">
        <v>1.67E-2</v>
      </c>
      <c r="H87" s="85">
        <v>1.67E-2</v>
      </c>
      <c r="I87" s="85">
        <v>1.67E-2</v>
      </c>
      <c r="J87" s="81">
        <v>0.83</v>
      </c>
      <c r="K87" s="88">
        <v>0.83</v>
      </c>
      <c r="L87" s="88">
        <v>0.83</v>
      </c>
      <c r="M87" s="88">
        <v>0.83</v>
      </c>
      <c r="N87" s="88">
        <v>0.83</v>
      </c>
      <c r="O87" s="88">
        <v>0.83</v>
      </c>
      <c r="P87" s="88">
        <v>0.83</v>
      </c>
      <c r="Q87" s="88">
        <v>0</v>
      </c>
      <c r="R87" s="97">
        <v>0.83</v>
      </c>
      <c r="S87" s="81">
        <v>0.83</v>
      </c>
      <c r="T87" s="81">
        <v>0.83</v>
      </c>
      <c r="U87" s="85">
        <v>0</v>
      </c>
      <c r="V87" s="91">
        <f t="shared" si="2"/>
        <v>-2.46E-2</v>
      </c>
      <c r="W87" s="100">
        <f t="shared" si="3"/>
        <v>-2.46</v>
      </c>
      <c r="X87" s="90">
        <v>4.13</v>
      </c>
      <c r="Y87"/>
    </row>
    <row r="88" spans="1:25" ht="19.95" customHeight="1" x14ac:dyDescent="0.35">
      <c r="A88" s="117" t="s">
        <v>829</v>
      </c>
      <c r="B88" s="74">
        <v>2950</v>
      </c>
      <c r="C88" s="78">
        <v>5</v>
      </c>
      <c r="D88" s="81">
        <v>0.5</v>
      </c>
      <c r="E88" s="81">
        <v>1.25</v>
      </c>
      <c r="F88" s="81">
        <v>0</v>
      </c>
      <c r="G88" s="85">
        <v>1.2500000000000001E-2</v>
      </c>
      <c r="H88" s="85">
        <v>1.2500000000000001E-2</v>
      </c>
      <c r="I88" s="85">
        <v>5.0000000000000001E-3</v>
      </c>
      <c r="J88" s="81">
        <v>0.5</v>
      </c>
      <c r="K88" s="88">
        <v>0.5</v>
      </c>
      <c r="L88" s="88">
        <v>0.5</v>
      </c>
      <c r="M88" s="88">
        <v>0.5</v>
      </c>
      <c r="N88" s="88">
        <v>0.5</v>
      </c>
      <c r="O88" s="88">
        <v>0.5</v>
      </c>
      <c r="P88" s="88">
        <v>0.5</v>
      </c>
      <c r="Q88" s="88">
        <v>0</v>
      </c>
      <c r="R88" s="97">
        <v>1.25</v>
      </c>
      <c r="S88" s="81">
        <v>2.25</v>
      </c>
      <c r="T88" s="81">
        <v>2.25</v>
      </c>
      <c r="U88" s="85">
        <v>0</v>
      </c>
      <c r="V88" s="91">
        <f t="shared" si="2"/>
        <v>-3.6299999999999999E-2</v>
      </c>
      <c r="W88" s="100">
        <f t="shared" si="3"/>
        <v>-2.88</v>
      </c>
      <c r="X88" s="90">
        <v>4.13</v>
      </c>
      <c r="Y88"/>
    </row>
    <row r="89" spans="1:25" ht="19.95" customHeight="1" x14ac:dyDescent="0.35">
      <c r="A89" s="117" t="s">
        <v>830</v>
      </c>
      <c r="B89" s="74">
        <v>14750</v>
      </c>
      <c r="C89" s="78">
        <v>10</v>
      </c>
      <c r="D89" s="81">
        <v>1</v>
      </c>
      <c r="E89" s="81">
        <v>2</v>
      </c>
      <c r="F89" s="81">
        <v>0</v>
      </c>
      <c r="G89" s="85">
        <v>0.02</v>
      </c>
      <c r="H89" s="85">
        <v>0.02</v>
      </c>
      <c r="I89" s="85">
        <v>0.02</v>
      </c>
      <c r="J89" s="81">
        <v>2</v>
      </c>
      <c r="K89" s="88">
        <v>1.67</v>
      </c>
      <c r="L89" s="88">
        <v>1.67</v>
      </c>
      <c r="M89" s="88">
        <v>1.67</v>
      </c>
      <c r="N89" s="88">
        <v>1.67</v>
      </c>
      <c r="O89" s="88">
        <v>1.67</v>
      </c>
      <c r="P89" s="88">
        <v>1.67</v>
      </c>
      <c r="Q89" s="88">
        <v>0</v>
      </c>
      <c r="R89" s="97">
        <v>2</v>
      </c>
      <c r="S89" s="81">
        <v>2</v>
      </c>
      <c r="T89" s="81">
        <v>2</v>
      </c>
      <c r="U89" s="85">
        <v>0</v>
      </c>
      <c r="V89" s="91">
        <f t="shared" si="2"/>
        <v>-3.5999999999999986E-3</v>
      </c>
      <c r="W89" s="100">
        <f t="shared" si="3"/>
        <v>-0.35999999999999988</v>
      </c>
      <c r="X89" s="90">
        <v>2.36</v>
      </c>
      <c r="Y89"/>
    </row>
    <row r="90" spans="1:25" ht="19.95" customHeight="1" x14ac:dyDescent="0.35">
      <c r="A90" s="117" t="s">
        <v>831</v>
      </c>
      <c r="B90" s="74">
        <v>3540</v>
      </c>
      <c r="C90" s="78">
        <v>5</v>
      </c>
      <c r="D90" s="81">
        <v>1</v>
      </c>
      <c r="E90" s="81">
        <v>2.25</v>
      </c>
      <c r="F90" s="81">
        <v>0</v>
      </c>
      <c r="G90" s="85">
        <v>2.5000000000000001E-2</v>
      </c>
      <c r="H90" s="85">
        <v>2.5000000000000001E-2</v>
      </c>
      <c r="I90" s="85">
        <v>2.5000000000000001E-2</v>
      </c>
      <c r="J90" s="81">
        <v>2.25</v>
      </c>
      <c r="K90" s="88">
        <v>1</v>
      </c>
      <c r="L90" s="88">
        <v>1</v>
      </c>
      <c r="M90" s="88">
        <v>1</v>
      </c>
      <c r="N90" s="88">
        <v>1</v>
      </c>
      <c r="O90" s="88">
        <v>1</v>
      </c>
      <c r="P90" s="88">
        <v>1</v>
      </c>
      <c r="Q90" s="88">
        <v>1</v>
      </c>
      <c r="R90" s="97">
        <v>2.25</v>
      </c>
      <c r="S90" s="81">
        <v>2.25</v>
      </c>
      <c r="T90" s="81">
        <v>2.25</v>
      </c>
      <c r="U90" s="85">
        <v>0</v>
      </c>
      <c r="V90" s="91">
        <f t="shared" si="2"/>
        <v>-1.6299999999999999E-2</v>
      </c>
      <c r="W90" s="100">
        <f t="shared" si="3"/>
        <v>-1.63</v>
      </c>
      <c r="X90" s="90">
        <v>4.13</v>
      </c>
      <c r="Y90"/>
    </row>
    <row r="91" spans="1:25" ht="19.95" customHeight="1" x14ac:dyDescent="0.35">
      <c r="A91" s="108" t="s">
        <v>832</v>
      </c>
      <c r="B91" s="74">
        <v>0</v>
      </c>
      <c r="C91" s="78" t="s">
        <v>843</v>
      </c>
      <c r="D91" s="81">
        <v>0.25</v>
      </c>
      <c r="E91" s="81">
        <v>0.75</v>
      </c>
      <c r="F91" s="81">
        <v>0</v>
      </c>
      <c r="G91" s="85">
        <v>2.5000000000000001E-3</v>
      </c>
      <c r="H91" s="85">
        <v>2.5000000000000001E-3</v>
      </c>
      <c r="I91" s="85">
        <v>2.5000000000000001E-3</v>
      </c>
      <c r="J91" s="81">
        <v>0.25</v>
      </c>
      <c r="K91" s="88">
        <v>0</v>
      </c>
      <c r="L91" s="88">
        <v>0</v>
      </c>
      <c r="M91" s="88">
        <v>0</v>
      </c>
      <c r="N91" s="88">
        <v>0</v>
      </c>
      <c r="O91" s="88">
        <v>0</v>
      </c>
      <c r="P91" s="88">
        <v>0</v>
      </c>
      <c r="Q91" s="88">
        <v>0</v>
      </c>
      <c r="R91" s="97">
        <v>15</v>
      </c>
      <c r="S91" s="81">
        <v>0.25</v>
      </c>
      <c r="T91" s="81">
        <v>0.25</v>
      </c>
      <c r="U91" s="85">
        <v>0</v>
      </c>
      <c r="V91" s="91">
        <f t="shared" si="2"/>
        <v>-2.1099999999999997E-2</v>
      </c>
      <c r="W91" s="100">
        <f t="shared" si="3"/>
        <v>-2.11</v>
      </c>
      <c r="X91" s="90">
        <v>2.36</v>
      </c>
      <c r="Y91"/>
    </row>
    <row r="92" spans="1:25" ht="19.95" customHeight="1" x14ac:dyDescent="0.35">
      <c r="A92" s="108" t="s">
        <v>833</v>
      </c>
      <c r="B92" s="74">
        <v>0</v>
      </c>
      <c r="C92" s="78" t="s">
        <v>843</v>
      </c>
      <c r="D92" s="81">
        <v>0.2</v>
      </c>
      <c r="E92" s="81">
        <v>0.2</v>
      </c>
      <c r="F92" s="81">
        <v>0</v>
      </c>
      <c r="G92" s="85">
        <v>2E-3</v>
      </c>
      <c r="H92" s="85">
        <v>2E-3</v>
      </c>
      <c r="I92" s="85">
        <v>2E-3</v>
      </c>
      <c r="J92" s="81">
        <v>0.2</v>
      </c>
      <c r="K92" s="88">
        <v>0</v>
      </c>
      <c r="L92" s="88">
        <v>0</v>
      </c>
      <c r="M92" s="88">
        <v>0</v>
      </c>
      <c r="N92" s="88">
        <v>0</v>
      </c>
      <c r="O92" s="88">
        <v>0</v>
      </c>
      <c r="P92" s="88">
        <v>0</v>
      </c>
      <c r="Q92" s="88">
        <v>0</v>
      </c>
      <c r="R92" s="97">
        <v>15</v>
      </c>
      <c r="S92" s="81">
        <v>0.2</v>
      </c>
      <c r="T92" s="81">
        <v>0.2</v>
      </c>
      <c r="U92" s="85">
        <v>0</v>
      </c>
      <c r="V92" s="91">
        <f t="shared" si="2"/>
        <v>-3.9299999999999995E-2</v>
      </c>
      <c r="W92" s="100">
        <f t="shared" si="3"/>
        <v>-3.9299999999999997</v>
      </c>
      <c r="X92" s="90">
        <v>4.13</v>
      </c>
      <c r="Y92"/>
    </row>
    <row r="93" spans="1:25" ht="19.95" customHeight="1" x14ac:dyDescent="0.35">
      <c r="A93" s="108" t="s">
        <v>834</v>
      </c>
      <c r="B93" s="74">
        <v>0</v>
      </c>
      <c r="C93" s="78" t="s">
        <v>843</v>
      </c>
      <c r="D93" s="81">
        <v>0.16</v>
      </c>
      <c r="E93" s="81">
        <v>0.16</v>
      </c>
      <c r="F93" s="81">
        <v>0</v>
      </c>
      <c r="G93" s="85">
        <v>1.6000000000000001E-3</v>
      </c>
      <c r="H93" s="85">
        <v>1.6000000000000001E-3</v>
      </c>
      <c r="I93" s="85">
        <v>1.6000000000000001E-3</v>
      </c>
      <c r="J93" s="81">
        <v>0.16</v>
      </c>
      <c r="K93" s="88">
        <v>0</v>
      </c>
      <c r="L93" s="88">
        <v>0</v>
      </c>
      <c r="M93" s="88">
        <v>0</v>
      </c>
      <c r="N93" s="88">
        <v>0</v>
      </c>
      <c r="O93" s="88">
        <v>0</v>
      </c>
      <c r="P93" s="88">
        <v>0</v>
      </c>
      <c r="Q93" s="88">
        <v>0</v>
      </c>
      <c r="R93" s="97">
        <v>15</v>
      </c>
      <c r="S93" s="81">
        <v>0.16</v>
      </c>
      <c r="T93" s="81">
        <v>0.16</v>
      </c>
      <c r="U93" s="85">
        <v>1.6000000000000001E-3</v>
      </c>
      <c r="V93" s="93">
        <f t="shared" si="2"/>
        <v>-3.9699999999999999E-2</v>
      </c>
      <c r="W93" s="101">
        <f t="shared" si="3"/>
        <v>-3.9699999999999998</v>
      </c>
      <c r="X93" s="90">
        <v>4.13</v>
      </c>
      <c r="Y93"/>
    </row>
    <row r="94" spans="1:25" ht="19.95" customHeight="1" x14ac:dyDescent="0.35">
      <c r="A94" s="118" t="s">
        <v>835</v>
      </c>
      <c r="B94" s="74">
        <v>0</v>
      </c>
      <c r="C94" s="78" t="s">
        <v>843</v>
      </c>
      <c r="D94" s="81">
        <v>0.2</v>
      </c>
      <c r="E94" s="81">
        <v>0.2</v>
      </c>
      <c r="F94" s="81">
        <v>0</v>
      </c>
      <c r="G94" s="85">
        <v>0.02</v>
      </c>
      <c r="H94" s="85">
        <v>0.02</v>
      </c>
      <c r="I94" s="85">
        <v>0.02</v>
      </c>
      <c r="J94" s="81">
        <v>2</v>
      </c>
      <c r="K94" s="88">
        <v>0</v>
      </c>
      <c r="L94" s="88">
        <v>2</v>
      </c>
      <c r="M94" s="88">
        <v>0</v>
      </c>
      <c r="N94" s="88">
        <v>2</v>
      </c>
      <c r="O94" s="88">
        <v>2</v>
      </c>
      <c r="P94" s="88">
        <v>2</v>
      </c>
      <c r="Q94" s="88">
        <v>0</v>
      </c>
      <c r="R94" s="97">
        <v>2</v>
      </c>
      <c r="S94" s="81">
        <v>2</v>
      </c>
      <c r="T94" s="81">
        <v>2</v>
      </c>
      <c r="U94" s="85">
        <v>0</v>
      </c>
      <c r="V94" s="93">
        <f t="shared" si="2"/>
        <v>0.02</v>
      </c>
      <c r="W94" s="101">
        <f t="shared" si="3"/>
        <v>2</v>
      </c>
      <c r="X94" s="90">
        <v>0</v>
      </c>
      <c r="Y94"/>
    </row>
    <row r="95" spans="1:25" ht="19.95" customHeight="1" x14ac:dyDescent="0.35">
      <c r="A95" s="118" t="s">
        <v>579</v>
      </c>
      <c r="B95" s="74">
        <v>0</v>
      </c>
      <c r="C95" s="78" t="s">
        <v>843</v>
      </c>
      <c r="D95" s="81">
        <v>2</v>
      </c>
      <c r="E95" s="81">
        <v>4</v>
      </c>
      <c r="F95" s="81">
        <v>0</v>
      </c>
      <c r="G95" s="85">
        <v>0.01</v>
      </c>
      <c r="H95" s="85">
        <v>0.01</v>
      </c>
      <c r="I95" s="85">
        <v>0.01</v>
      </c>
      <c r="J95" s="81">
        <v>1</v>
      </c>
      <c r="K95" s="88">
        <v>0</v>
      </c>
      <c r="L95" s="88">
        <v>0</v>
      </c>
      <c r="M95" s="88">
        <v>0</v>
      </c>
      <c r="N95" s="88">
        <v>0</v>
      </c>
      <c r="O95" s="88">
        <v>0</v>
      </c>
      <c r="P95" s="88">
        <v>0</v>
      </c>
      <c r="Q95" s="88">
        <v>0</v>
      </c>
      <c r="R95" s="97">
        <v>1</v>
      </c>
      <c r="S95" s="81">
        <v>1</v>
      </c>
      <c r="T95" s="81">
        <v>1</v>
      </c>
      <c r="U95" s="85">
        <v>0</v>
      </c>
      <c r="V95" s="93">
        <f t="shared" si="2"/>
        <v>-1.7999999999999993E-3</v>
      </c>
      <c r="W95" s="101">
        <f t="shared" si="3"/>
        <v>-0.17999999999999994</v>
      </c>
      <c r="X95" s="90">
        <v>1.18</v>
      </c>
      <c r="Y95"/>
    </row>
    <row r="96" spans="1:25" ht="19.95" customHeight="1" x14ac:dyDescent="0.35">
      <c r="A96" s="118" t="s">
        <v>836</v>
      </c>
      <c r="B96" s="74">
        <v>0</v>
      </c>
      <c r="C96" s="78" t="s">
        <v>843</v>
      </c>
      <c r="D96" s="81">
        <v>0.5</v>
      </c>
      <c r="E96" s="81">
        <v>0.5</v>
      </c>
      <c r="F96" s="81">
        <v>0</v>
      </c>
      <c r="G96" s="85">
        <v>0.01</v>
      </c>
      <c r="H96" s="85">
        <v>0.01</v>
      </c>
      <c r="I96" s="85">
        <v>0.01</v>
      </c>
      <c r="J96" s="81">
        <v>0</v>
      </c>
      <c r="K96" s="88">
        <v>0</v>
      </c>
      <c r="L96" s="88">
        <v>0</v>
      </c>
      <c r="M96" s="88">
        <v>0</v>
      </c>
      <c r="N96" s="88">
        <v>0</v>
      </c>
      <c r="O96" s="88">
        <v>0</v>
      </c>
      <c r="P96" s="88">
        <v>0</v>
      </c>
      <c r="Q96" s="88">
        <v>0</v>
      </c>
      <c r="R96" s="97">
        <v>0.5</v>
      </c>
      <c r="S96" s="81">
        <v>1</v>
      </c>
      <c r="T96" s="81">
        <v>1</v>
      </c>
      <c r="U96" s="85">
        <v>0.01</v>
      </c>
      <c r="V96" s="93">
        <f t="shared" si="2"/>
        <v>-3.1300000000000001E-2</v>
      </c>
      <c r="W96" s="101">
        <f t="shared" si="3"/>
        <v>-3.13</v>
      </c>
      <c r="X96" s="90">
        <v>4.13</v>
      </c>
      <c r="Y96"/>
    </row>
    <row r="97" spans="1:25" ht="19.95" customHeight="1" x14ac:dyDescent="0.35">
      <c r="A97" s="119" t="s">
        <v>837</v>
      </c>
      <c r="B97" s="163">
        <v>0</v>
      </c>
      <c r="C97" s="79" t="s">
        <v>843</v>
      </c>
      <c r="D97" s="82">
        <v>2</v>
      </c>
      <c r="E97" s="82">
        <v>2</v>
      </c>
      <c r="F97" s="81">
        <v>0</v>
      </c>
      <c r="G97" s="86">
        <v>0.02</v>
      </c>
      <c r="H97" s="86">
        <v>0.02</v>
      </c>
      <c r="I97" s="86">
        <v>0.02</v>
      </c>
      <c r="J97" s="82">
        <v>0</v>
      </c>
      <c r="K97" s="88">
        <v>0</v>
      </c>
      <c r="L97" s="88">
        <v>0</v>
      </c>
      <c r="M97" s="88">
        <v>0</v>
      </c>
      <c r="N97" s="88">
        <v>0</v>
      </c>
      <c r="O97" s="88">
        <v>0</v>
      </c>
      <c r="P97" s="88">
        <v>0</v>
      </c>
      <c r="Q97" s="88">
        <v>0</v>
      </c>
      <c r="R97" s="98">
        <v>2</v>
      </c>
      <c r="S97" s="82">
        <v>2</v>
      </c>
      <c r="T97" s="82">
        <v>2</v>
      </c>
      <c r="U97" s="86">
        <v>0.02</v>
      </c>
      <c r="V97" s="95">
        <f t="shared" si="2"/>
        <v>-2.1299999999999999E-2</v>
      </c>
      <c r="W97" s="94">
        <f t="shared" si="3"/>
        <v>-2.13</v>
      </c>
      <c r="X97" s="90">
        <v>4.13</v>
      </c>
      <c r="Y97"/>
    </row>
  </sheetData>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S231"/>
  <sheetViews>
    <sheetView showGridLines="0" topLeftCell="A48" zoomScale="120" zoomScaleNormal="69" workbookViewId="0">
      <selection activeCell="C50" sqref="C50"/>
    </sheetView>
  </sheetViews>
  <sheetFormatPr defaultRowHeight="14.4" x14ac:dyDescent="0.3"/>
  <cols>
    <col min="1" max="1" width="19.88671875" customWidth="1"/>
    <col min="2" max="2" width="19.88671875" style="1" customWidth="1"/>
    <col min="3" max="3" width="13.109375" style="60" customWidth="1"/>
    <col min="4" max="4" width="17.109375" style="18" customWidth="1"/>
    <col min="5" max="5" width="13" style="19" customWidth="1"/>
    <col min="6" max="6" width="15.77734375" style="13" customWidth="1"/>
    <col min="7" max="7" width="41.21875" style="2" customWidth="1"/>
    <col min="8" max="8" width="33.88671875" style="2" customWidth="1"/>
    <col min="9" max="9" width="32.44140625" style="132" customWidth="1"/>
    <col min="10" max="10" width="30" style="27" customWidth="1"/>
    <col min="11" max="11" width="24.5546875" style="27" customWidth="1"/>
    <col min="12" max="12" width="15.21875" style="27" customWidth="1"/>
    <col min="13" max="13" width="18.6640625" style="27" customWidth="1"/>
    <col min="14" max="14" width="17.77734375" style="237" customWidth="1"/>
    <col min="15" max="15" width="16.109375" style="27" customWidth="1"/>
    <col min="16" max="16" width="16" style="27" customWidth="1"/>
    <col min="17" max="17" width="19.5546875" style="27" customWidth="1"/>
    <col min="18" max="18" width="10.44140625" style="27" customWidth="1"/>
    <col min="19" max="19" width="18.109375" style="27" customWidth="1"/>
    <col min="20" max="20" width="12.21875" style="27" customWidth="1"/>
    <col min="21" max="22" width="18.109375" style="2" customWidth="1"/>
    <col min="23" max="23" width="23.88671875" style="3" customWidth="1"/>
    <col min="24" max="24" width="26" style="3" customWidth="1"/>
    <col min="25" max="25" width="21.5546875" style="3" customWidth="1"/>
    <col min="26" max="26" width="27.88671875" style="2" customWidth="1"/>
    <col min="27" max="27" width="14.109375" style="1" customWidth="1"/>
    <col min="28" max="28" width="11.77734375" style="5" customWidth="1"/>
    <col min="29" max="29" width="13.44140625" style="5" customWidth="1"/>
    <col min="39" max="39" width="2.6640625" customWidth="1"/>
    <col min="40" max="41" width="8.88671875" hidden="1" customWidth="1"/>
    <col min="42" max="42" width="0.33203125" hidden="1" customWidth="1"/>
    <col min="43" max="43" width="8.88671875" hidden="1" customWidth="1"/>
  </cols>
  <sheetData>
    <row r="1" spans="1:45" ht="30" customHeight="1" x14ac:dyDescent="0.3">
      <c r="A1" s="323" t="s">
        <v>1158</v>
      </c>
      <c r="B1" s="323"/>
      <c r="C1" s="323"/>
      <c r="D1" s="323"/>
      <c r="E1" s="323"/>
      <c r="F1" s="323"/>
      <c r="G1" s="323"/>
      <c r="H1" s="323"/>
      <c r="I1" s="323"/>
      <c r="J1" s="323"/>
      <c r="K1" s="323"/>
      <c r="L1" s="323"/>
      <c r="M1" s="323"/>
      <c r="N1" s="323"/>
      <c r="O1" s="323"/>
      <c r="P1" s="323"/>
      <c r="Q1" s="323"/>
      <c r="R1" s="323"/>
      <c r="S1" s="323"/>
      <c r="T1" s="323"/>
      <c r="U1" s="323"/>
      <c r="V1" s="323"/>
      <c r="W1" s="323"/>
      <c r="X1" s="323"/>
      <c r="Y1" s="323"/>
      <c r="Z1" s="323"/>
      <c r="AA1" s="323"/>
      <c r="AB1" s="323"/>
      <c r="AC1" s="323"/>
      <c r="AD1" s="323"/>
      <c r="AE1" s="323"/>
      <c r="AF1" s="323"/>
      <c r="AG1" s="323"/>
      <c r="AH1" s="323"/>
      <c r="AI1" s="323"/>
      <c r="AJ1" s="323"/>
      <c r="AK1" s="323"/>
      <c r="AL1" s="323"/>
      <c r="AM1" s="4"/>
      <c r="AN1" s="4"/>
      <c r="AO1" s="4"/>
      <c r="AP1" s="4"/>
      <c r="AQ1" s="4"/>
    </row>
    <row r="2" spans="1:45" ht="30" customHeight="1" x14ac:dyDescent="0.3">
      <c r="A2" s="323"/>
      <c r="B2" s="323"/>
      <c r="C2" s="323"/>
      <c r="D2" s="323"/>
      <c r="E2" s="323"/>
      <c r="F2" s="323"/>
      <c r="G2" s="323"/>
      <c r="H2" s="323"/>
      <c r="I2" s="323"/>
      <c r="J2" s="323"/>
      <c r="K2" s="323"/>
      <c r="L2" s="323"/>
      <c r="M2" s="323"/>
      <c r="N2" s="323"/>
      <c r="O2" s="323"/>
      <c r="P2" s="323"/>
      <c r="Q2" s="323"/>
      <c r="R2" s="323"/>
      <c r="S2" s="323"/>
      <c r="T2" s="323"/>
      <c r="U2" s="323"/>
      <c r="V2" s="323"/>
      <c r="W2" s="323"/>
      <c r="X2" s="323"/>
      <c r="Y2" s="323"/>
      <c r="Z2" s="323"/>
      <c r="AA2" s="323"/>
      <c r="AB2" s="323"/>
      <c r="AC2" s="323"/>
      <c r="AD2" s="323"/>
      <c r="AE2" s="323"/>
      <c r="AF2" s="323"/>
      <c r="AG2" s="323"/>
      <c r="AH2" s="323"/>
      <c r="AI2" s="323"/>
      <c r="AJ2" s="323"/>
      <c r="AK2" s="323"/>
      <c r="AL2" s="323"/>
      <c r="AM2" s="4"/>
      <c r="AN2" s="4"/>
      <c r="AO2" s="4"/>
      <c r="AP2" s="4"/>
      <c r="AQ2" s="4"/>
    </row>
    <row r="3" spans="1:45" s="5" customFormat="1" ht="22.8" customHeight="1" x14ac:dyDescent="0.3">
      <c r="A3" s="294" t="s">
        <v>7</v>
      </c>
      <c r="B3" s="294" t="s">
        <v>6</v>
      </c>
      <c r="C3" s="295" t="s">
        <v>256</v>
      </c>
      <c r="D3" s="295" t="s">
        <v>257</v>
      </c>
      <c r="E3" s="295" t="s">
        <v>49</v>
      </c>
      <c r="F3" s="296" t="s">
        <v>9</v>
      </c>
      <c r="G3" s="296" t="s">
        <v>24</v>
      </c>
      <c r="H3" s="296" t="s">
        <v>102</v>
      </c>
      <c r="I3" s="296" t="s">
        <v>401</v>
      </c>
      <c r="J3" s="296"/>
      <c r="K3" s="296"/>
      <c r="L3" s="296"/>
      <c r="M3" s="296"/>
      <c r="N3" s="296"/>
      <c r="O3" s="296"/>
      <c r="P3" s="296"/>
      <c r="Q3" s="296"/>
      <c r="R3" s="296"/>
      <c r="S3" s="296"/>
      <c r="T3" s="296"/>
      <c r="U3" s="296"/>
      <c r="V3" s="296"/>
      <c r="W3" s="296" t="s">
        <v>129</v>
      </c>
      <c r="X3" s="296"/>
      <c r="Y3" s="296"/>
      <c r="Z3" s="296" t="s">
        <v>130</v>
      </c>
      <c r="AA3" s="294" t="s">
        <v>10</v>
      </c>
      <c r="AB3" s="296" t="s">
        <v>86</v>
      </c>
      <c r="AC3" s="296" t="s">
        <v>31</v>
      </c>
      <c r="AD3" s="294" t="s">
        <v>40</v>
      </c>
      <c r="AE3" s="294"/>
      <c r="AF3" s="294"/>
      <c r="AG3" s="294"/>
      <c r="AH3" s="294"/>
      <c r="AI3" s="294"/>
      <c r="AJ3" s="294"/>
      <c r="AK3" s="294"/>
      <c r="AL3" s="294"/>
      <c r="AM3" s="294"/>
      <c r="AN3" s="235"/>
      <c r="AO3" s="235"/>
      <c r="AP3" s="235"/>
      <c r="AQ3" s="235"/>
    </row>
    <row r="4" spans="1:45" s="5" customFormat="1" ht="36.6" customHeight="1" x14ac:dyDescent="0.3">
      <c r="A4" s="294"/>
      <c r="B4" s="294"/>
      <c r="C4" s="295"/>
      <c r="D4" s="295"/>
      <c r="E4" s="295"/>
      <c r="F4" s="296"/>
      <c r="G4" s="296"/>
      <c r="H4" s="296"/>
      <c r="I4" s="236" t="s">
        <v>96</v>
      </c>
      <c r="J4" s="236" t="s">
        <v>255</v>
      </c>
      <c r="K4" s="236" t="s">
        <v>2</v>
      </c>
      <c r="L4" s="236" t="s">
        <v>82</v>
      </c>
      <c r="M4" s="236" t="s">
        <v>83</v>
      </c>
      <c r="N4" s="236" t="s">
        <v>79</v>
      </c>
      <c r="O4" s="236" t="s">
        <v>80</v>
      </c>
      <c r="P4" s="236" t="s">
        <v>213</v>
      </c>
      <c r="Q4" s="236" t="s">
        <v>101</v>
      </c>
      <c r="R4" s="236" t="s">
        <v>0</v>
      </c>
      <c r="S4" s="236" t="s">
        <v>1166</v>
      </c>
      <c r="T4" s="236" t="s">
        <v>128</v>
      </c>
      <c r="U4" s="234" t="s">
        <v>81</v>
      </c>
      <c r="V4" s="234" t="s">
        <v>5</v>
      </c>
      <c r="W4" s="234" t="s">
        <v>84</v>
      </c>
      <c r="X4" s="234" t="s">
        <v>85</v>
      </c>
      <c r="Y4" s="234" t="s">
        <v>57</v>
      </c>
      <c r="Z4" s="296"/>
      <c r="AA4" s="294"/>
      <c r="AB4" s="296"/>
      <c r="AC4" s="296"/>
      <c r="AD4" s="294"/>
      <c r="AE4" s="294"/>
      <c r="AF4" s="294"/>
      <c r="AG4" s="294"/>
      <c r="AH4" s="294"/>
      <c r="AI4" s="294"/>
      <c r="AJ4" s="294"/>
      <c r="AK4" s="294"/>
      <c r="AL4" s="294"/>
      <c r="AM4" s="294"/>
      <c r="AN4" s="235"/>
      <c r="AO4" s="235"/>
      <c r="AP4" s="235"/>
      <c r="AQ4" s="235"/>
    </row>
    <row r="5" spans="1:45" ht="25.05" customHeight="1" x14ac:dyDescent="0.3">
      <c r="A5" s="300" t="s">
        <v>25</v>
      </c>
      <c r="B5" s="275" t="s">
        <v>154</v>
      </c>
      <c r="C5" s="275"/>
      <c r="D5" s="275"/>
      <c r="E5" s="275"/>
      <c r="F5" s="275"/>
      <c r="G5" s="275"/>
      <c r="H5" s="275"/>
      <c r="I5" s="275"/>
      <c r="J5" s="275"/>
      <c r="K5" s="275"/>
      <c r="L5" s="275"/>
      <c r="M5" s="275"/>
      <c r="N5" s="275"/>
      <c r="O5" s="275"/>
      <c r="P5" s="275"/>
      <c r="Q5" s="275"/>
      <c r="R5" s="275"/>
      <c r="S5" s="275"/>
      <c r="T5" s="275"/>
      <c r="U5" s="275"/>
      <c r="V5" s="275"/>
      <c r="W5" s="275"/>
      <c r="X5" s="275"/>
      <c r="Y5" s="275"/>
      <c r="Z5" s="275"/>
      <c r="AA5" s="275"/>
      <c r="AB5" s="275"/>
      <c r="AC5" s="275"/>
      <c r="AD5" s="275"/>
      <c r="AE5" s="275"/>
      <c r="AF5" s="275"/>
      <c r="AG5" s="275"/>
      <c r="AH5" s="275"/>
      <c r="AI5" s="275"/>
      <c r="AJ5" s="275"/>
      <c r="AK5" s="275"/>
      <c r="AL5" s="275"/>
      <c r="AM5" s="275"/>
      <c r="AN5" s="275"/>
      <c r="AO5" s="275"/>
      <c r="AP5" s="275"/>
      <c r="AQ5" s="275"/>
    </row>
    <row r="6" spans="1:45" ht="120" customHeight="1" x14ac:dyDescent="0.3">
      <c r="A6" s="300"/>
      <c r="B6" s="24" t="s">
        <v>11</v>
      </c>
      <c r="C6" s="16">
        <v>14750</v>
      </c>
      <c r="D6" s="16">
        <v>14750</v>
      </c>
      <c r="E6" s="16" t="s">
        <v>496</v>
      </c>
      <c r="F6" s="8" t="s">
        <v>71</v>
      </c>
      <c r="G6" s="6" t="s">
        <v>856</v>
      </c>
      <c r="H6" s="6" t="s">
        <v>26</v>
      </c>
      <c r="I6" s="129" t="s">
        <v>1163</v>
      </c>
      <c r="J6" s="21" t="s">
        <v>1162</v>
      </c>
      <c r="K6" s="252" t="s">
        <v>1164</v>
      </c>
      <c r="L6" s="252"/>
      <c r="M6" s="252"/>
      <c r="N6" s="252">
        <v>0</v>
      </c>
      <c r="O6" s="252" t="s">
        <v>33</v>
      </c>
      <c r="P6" s="21" t="s">
        <v>92</v>
      </c>
      <c r="Q6" s="21">
        <v>2.4E-2</v>
      </c>
      <c r="R6" s="252">
        <v>0</v>
      </c>
      <c r="S6" s="21" t="s">
        <v>1165</v>
      </c>
      <c r="T6" s="21">
        <v>2.3599999999999999E-2</v>
      </c>
      <c r="U6" s="21">
        <v>4.0000000000000002E-4</v>
      </c>
      <c r="V6" s="252" t="s">
        <v>33</v>
      </c>
      <c r="W6" s="326" t="s">
        <v>87</v>
      </c>
      <c r="X6" s="327"/>
      <c r="Y6" s="255" t="s">
        <v>33</v>
      </c>
      <c r="Z6" s="10" t="s">
        <v>28</v>
      </c>
      <c r="AA6" s="24" t="s">
        <v>47</v>
      </c>
      <c r="AB6" s="7" t="s">
        <v>32</v>
      </c>
      <c r="AC6" s="7" t="s">
        <v>30</v>
      </c>
      <c r="AD6" s="257" t="s">
        <v>1068</v>
      </c>
      <c r="AE6" s="257"/>
      <c r="AF6" s="257"/>
      <c r="AG6" s="257"/>
      <c r="AH6" s="257"/>
      <c r="AI6" s="257"/>
      <c r="AJ6" s="257"/>
      <c r="AK6" s="257"/>
      <c r="AL6" s="257"/>
      <c r="AM6" s="257"/>
      <c r="AN6" s="12"/>
      <c r="AO6" s="12"/>
      <c r="AP6" s="12"/>
      <c r="AQ6" s="12"/>
      <c r="AS6" s="202"/>
    </row>
    <row r="7" spans="1:45" ht="120" customHeight="1" x14ac:dyDescent="0.3">
      <c r="A7" s="300"/>
      <c r="B7" s="24" t="s">
        <v>16</v>
      </c>
      <c r="C7" s="16">
        <v>5900</v>
      </c>
      <c r="D7" s="16">
        <v>5900</v>
      </c>
      <c r="E7" s="16" t="s">
        <v>33</v>
      </c>
      <c r="F7" s="8" t="s">
        <v>70</v>
      </c>
      <c r="G7" s="6" t="s">
        <v>881</v>
      </c>
      <c r="H7" s="6" t="s">
        <v>500</v>
      </c>
      <c r="I7" s="129" t="s">
        <v>930</v>
      </c>
      <c r="J7" s="252" t="s">
        <v>501</v>
      </c>
      <c r="K7" s="252">
        <v>0.04</v>
      </c>
      <c r="L7" s="252"/>
      <c r="M7" s="252"/>
      <c r="N7" s="252"/>
      <c r="O7" s="252"/>
      <c r="P7" s="21" t="s">
        <v>93</v>
      </c>
      <c r="Q7" s="252">
        <v>0.04</v>
      </c>
      <c r="R7" s="252"/>
      <c r="S7" s="21" t="s">
        <v>1165</v>
      </c>
      <c r="T7" s="252">
        <v>4.1300000000000003E-2</v>
      </c>
      <c r="U7" s="21">
        <v>-1.2999999999999999E-3</v>
      </c>
      <c r="V7" s="252"/>
      <c r="W7" s="20" t="s">
        <v>94</v>
      </c>
      <c r="X7" s="20" t="s">
        <v>95</v>
      </c>
      <c r="Y7" s="255"/>
      <c r="Z7" s="258" t="s">
        <v>75</v>
      </c>
      <c r="AA7" s="266" t="s">
        <v>38</v>
      </c>
      <c r="AB7" s="7" t="s">
        <v>32</v>
      </c>
      <c r="AC7" s="7" t="s">
        <v>32</v>
      </c>
      <c r="AD7" s="257" t="s">
        <v>1069</v>
      </c>
      <c r="AE7" s="257"/>
      <c r="AF7" s="257"/>
      <c r="AG7" s="257"/>
      <c r="AH7" s="257"/>
      <c r="AI7" s="257"/>
      <c r="AJ7" s="257"/>
      <c r="AK7" s="257"/>
      <c r="AL7" s="257"/>
      <c r="AM7" s="257"/>
      <c r="AN7" s="12"/>
      <c r="AO7" s="12"/>
      <c r="AP7" s="12"/>
      <c r="AQ7" s="12"/>
    </row>
    <row r="8" spans="1:45" ht="120" customHeight="1" x14ac:dyDescent="0.3">
      <c r="A8" s="300"/>
      <c r="B8" s="24" t="s">
        <v>15</v>
      </c>
      <c r="C8" s="16">
        <v>3540</v>
      </c>
      <c r="D8" s="16">
        <v>3540</v>
      </c>
      <c r="E8" s="16" t="s">
        <v>33</v>
      </c>
      <c r="F8" s="8" t="s">
        <v>71</v>
      </c>
      <c r="G8" s="6" t="s">
        <v>29</v>
      </c>
      <c r="H8" s="8" t="s">
        <v>72</v>
      </c>
      <c r="I8" s="129" t="s">
        <v>882</v>
      </c>
      <c r="J8" s="252"/>
      <c r="K8" s="252">
        <v>0.02</v>
      </c>
      <c r="L8" s="252"/>
      <c r="M8" s="252"/>
      <c r="N8" s="252"/>
      <c r="O8" s="252"/>
      <c r="P8" s="21" t="s">
        <v>93</v>
      </c>
      <c r="Q8" s="252"/>
      <c r="R8" s="252"/>
      <c r="S8" s="21" t="s">
        <v>1179</v>
      </c>
      <c r="T8" s="252"/>
      <c r="U8" s="21">
        <v>-1.2999999999999999E-3</v>
      </c>
      <c r="V8" s="252"/>
      <c r="W8" s="20" t="s">
        <v>88</v>
      </c>
      <c r="X8" s="8" t="s">
        <v>89</v>
      </c>
      <c r="Y8" s="255"/>
      <c r="Z8" s="258"/>
      <c r="AA8" s="266"/>
      <c r="AB8" s="9" t="s">
        <v>30</v>
      </c>
      <c r="AC8" s="265" t="s">
        <v>33</v>
      </c>
      <c r="AD8" s="257" t="s">
        <v>1070</v>
      </c>
      <c r="AE8" s="257"/>
      <c r="AF8" s="257"/>
      <c r="AG8" s="257"/>
      <c r="AH8" s="257"/>
      <c r="AI8" s="257"/>
      <c r="AJ8" s="257"/>
      <c r="AK8" s="257"/>
      <c r="AL8" s="257"/>
      <c r="AM8" s="257"/>
      <c r="AN8" s="12"/>
      <c r="AO8" s="12"/>
      <c r="AP8" s="12"/>
      <c r="AQ8" s="12"/>
    </row>
    <row r="9" spans="1:45" ht="120" customHeight="1" x14ac:dyDescent="0.3">
      <c r="A9" s="300"/>
      <c r="B9" s="24" t="s">
        <v>23</v>
      </c>
      <c r="C9" s="16">
        <v>1180</v>
      </c>
      <c r="D9" s="16">
        <v>1180</v>
      </c>
      <c r="E9" s="16" t="s">
        <v>1189</v>
      </c>
      <c r="F9" s="8" t="s">
        <v>48</v>
      </c>
      <c r="G9" s="6" t="s">
        <v>502</v>
      </c>
      <c r="H9" s="6" t="s">
        <v>1191</v>
      </c>
      <c r="I9" s="22">
        <v>6.7000000000000002E-3</v>
      </c>
      <c r="J9" s="21">
        <v>6.7000000000000002E-3</v>
      </c>
      <c r="K9" s="252">
        <v>6.7000000000000002E-3</v>
      </c>
      <c r="L9" s="252"/>
      <c r="M9" s="252"/>
      <c r="N9" s="252"/>
      <c r="O9" s="252"/>
      <c r="P9" s="21" t="s">
        <v>258</v>
      </c>
      <c r="Q9" s="21">
        <v>1.3299999999999999E-2</v>
      </c>
      <c r="R9" s="21">
        <v>0.04</v>
      </c>
      <c r="S9" s="21" t="s">
        <v>1196</v>
      </c>
      <c r="T9" s="252"/>
      <c r="U9" s="8">
        <v>-3.46</v>
      </c>
      <c r="V9" s="252"/>
      <c r="W9" s="8" t="s">
        <v>90</v>
      </c>
      <c r="X9" s="255" t="s">
        <v>33</v>
      </c>
      <c r="Y9" s="255"/>
      <c r="Z9" s="261" t="s">
        <v>28</v>
      </c>
      <c r="AA9" s="24" t="s">
        <v>503</v>
      </c>
      <c r="AB9" s="7" t="s">
        <v>32</v>
      </c>
      <c r="AC9" s="265"/>
      <c r="AD9" s="257" t="s">
        <v>1071</v>
      </c>
      <c r="AE9" s="257"/>
      <c r="AF9" s="257"/>
      <c r="AG9" s="257"/>
      <c r="AH9" s="257"/>
      <c r="AI9" s="257"/>
      <c r="AJ9" s="257"/>
      <c r="AK9" s="257"/>
      <c r="AL9" s="257"/>
      <c r="AM9" s="257"/>
      <c r="AN9" s="12"/>
      <c r="AO9" s="12"/>
      <c r="AP9" s="12"/>
      <c r="AQ9" s="12"/>
    </row>
    <row r="10" spans="1:45" ht="120" customHeight="1" x14ac:dyDescent="0.3">
      <c r="A10" s="300"/>
      <c r="B10" s="24" t="s">
        <v>21</v>
      </c>
      <c r="C10" s="299">
        <v>588.82000000000005</v>
      </c>
      <c r="D10" s="299"/>
      <c r="E10" s="16" t="s">
        <v>509</v>
      </c>
      <c r="F10" s="8" t="s">
        <v>1</v>
      </c>
      <c r="G10" s="6" t="s">
        <v>504</v>
      </c>
      <c r="H10" s="8" t="s">
        <v>72</v>
      </c>
      <c r="I10" s="21" t="s">
        <v>505</v>
      </c>
      <c r="J10" s="21">
        <v>0.01</v>
      </c>
      <c r="K10" s="28" t="s">
        <v>506</v>
      </c>
      <c r="L10" s="21">
        <v>0.01</v>
      </c>
      <c r="M10" s="21">
        <v>0.01</v>
      </c>
      <c r="N10" s="252"/>
      <c r="O10" s="21" t="s">
        <v>99</v>
      </c>
      <c r="P10" s="21" t="s">
        <v>97</v>
      </c>
      <c r="Q10" s="21" t="s">
        <v>98</v>
      </c>
      <c r="R10" s="252">
        <v>0</v>
      </c>
      <c r="S10" s="21" t="s">
        <v>1165</v>
      </c>
      <c r="T10" s="252"/>
      <c r="U10" s="21">
        <v>-3.1300000000000001E-2</v>
      </c>
      <c r="V10" s="252"/>
      <c r="W10" s="8" t="s">
        <v>91</v>
      </c>
      <c r="X10" s="255"/>
      <c r="Y10" s="255"/>
      <c r="Z10" s="261"/>
      <c r="AA10" s="24" t="s">
        <v>22</v>
      </c>
      <c r="AB10" s="7" t="s">
        <v>32</v>
      </c>
      <c r="AC10" s="7" t="s">
        <v>39</v>
      </c>
      <c r="AD10" s="257" t="s">
        <v>1072</v>
      </c>
      <c r="AE10" s="257"/>
      <c r="AF10" s="257"/>
      <c r="AG10" s="257"/>
      <c r="AH10" s="257"/>
      <c r="AI10" s="257"/>
      <c r="AJ10" s="257"/>
      <c r="AK10" s="257"/>
      <c r="AL10" s="257"/>
      <c r="AM10" s="257"/>
      <c r="AN10" s="12"/>
      <c r="AO10" s="12"/>
      <c r="AP10" s="12"/>
      <c r="AQ10" s="12"/>
    </row>
    <row r="11" spans="1:45" ht="120" customHeight="1" x14ac:dyDescent="0.3">
      <c r="A11" s="300"/>
      <c r="B11" s="24" t="s">
        <v>12</v>
      </c>
      <c r="C11" s="299"/>
      <c r="D11" s="299"/>
      <c r="E11" s="16" t="s">
        <v>313</v>
      </c>
      <c r="F11" s="8" t="s">
        <v>1</v>
      </c>
      <c r="G11" s="6" t="s">
        <v>507</v>
      </c>
      <c r="H11" s="6" t="s">
        <v>508</v>
      </c>
      <c r="I11" s="21">
        <v>1.4999999999999999E-2</v>
      </c>
      <c r="J11" s="21">
        <v>1.4999999999999999E-2</v>
      </c>
      <c r="K11" s="252">
        <v>1.4999999999999999E-2</v>
      </c>
      <c r="L11" s="252"/>
      <c r="M11" s="252"/>
      <c r="N11" s="21" t="s">
        <v>100</v>
      </c>
      <c r="O11" s="252" t="s">
        <v>33</v>
      </c>
      <c r="P11" s="21" t="s">
        <v>98</v>
      </c>
      <c r="Q11" s="21">
        <v>1.4999999999999999E-2</v>
      </c>
      <c r="R11" s="252"/>
      <c r="S11" s="21" t="s">
        <v>1165</v>
      </c>
      <c r="T11" s="252"/>
      <c r="U11" s="21">
        <v>-2.63E-2</v>
      </c>
      <c r="V11" s="252"/>
      <c r="W11" s="255" t="s">
        <v>76</v>
      </c>
      <c r="X11" s="255"/>
      <c r="Y11" s="255"/>
      <c r="Z11" s="261"/>
      <c r="AA11" s="24" t="s">
        <v>37</v>
      </c>
      <c r="AB11" s="7" t="s">
        <v>32</v>
      </c>
      <c r="AC11" s="7" t="s">
        <v>32</v>
      </c>
      <c r="AD11" s="257" t="s">
        <v>1073</v>
      </c>
      <c r="AE11" s="257"/>
      <c r="AF11" s="257"/>
      <c r="AG11" s="257"/>
      <c r="AH11" s="257"/>
      <c r="AI11" s="257"/>
      <c r="AJ11" s="257"/>
      <c r="AK11" s="257"/>
      <c r="AL11" s="257"/>
      <c r="AM11" s="257"/>
      <c r="AN11" s="12"/>
      <c r="AO11" s="12"/>
      <c r="AP11" s="12"/>
      <c r="AQ11" s="12"/>
    </row>
    <row r="12" spans="1:45" ht="120" customHeight="1" x14ac:dyDescent="0.3">
      <c r="A12" s="300"/>
      <c r="B12" s="24" t="s">
        <v>13</v>
      </c>
      <c r="C12" s="299"/>
      <c r="D12" s="299"/>
      <c r="E12" s="16" t="s">
        <v>313</v>
      </c>
      <c r="F12" s="8" t="s">
        <v>1</v>
      </c>
      <c r="G12" s="36" t="s">
        <v>512</v>
      </c>
      <c r="H12" s="6" t="s">
        <v>510</v>
      </c>
      <c r="I12" s="21">
        <v>0.01</v>
      </c>
      <c r="J12" s="21">
        <v>0.01</v>
      </c>
      <c r="K12" s="252">
        <v>0.01</v>
      </c>
      <c r="L12" s="252"/>
      <c r="M12" s="252"/>
      <c r="N12" s="28" t="s">
        <v>511</v>
      </c>
      <c r="O12" s="252"/>
      <c r="P12" s="21" t="s">
        <v>103</v>
      </c>
      <c r="Q12" s="21" t="s">
        <v>883</v>
      </c>
      <c r="R12" s="252"/>
      <c r="S12" s="21" t="s">
        <v>1165</v>
      </c>
      <c r="T12" s="252"/>
      <c r="U12" s="21">
        <v>-3.1300000000000001E-2</v>
      </c>
      <c r="V12" s="28">
        <v>0.01</v>
      </c>
      <c r="W12" s="255"/>
      <c r="X12" s="255"/>
      <c r="Y12" s="255"/>
      <c r="Z12" s="261"/>
      <c r="AA12" s="32" t="s">
        <v>14</v>
      </c>
      <c r="AB12" s="7" t="s">
        <v>32</v>
      </c>
      <c r="AC12" s="7" t="s">
        <v>32</v>
      </c>
      <c r="AD12" s="257" t="s">
        <v>1074</v>
      </c>
      <c r="AE12" s="257"/>
      <c r="AF12" s="257"/>
      <c r="AG12" s="257"/>
      <c r="AH12" s="257"/>
      <c r="AI12" s="257"/>
      <c r="AJ12" s="257"/>
      <c r="AK12" s="257"/>
      <c r="AL12" s="257"/>
      <c r="AM12" s="257"/>
      <c r="AN12" s="12"/>
      <c r="AO12" s="12"/>
      <c r="AP12" s="12"/>
      <c r="AQ12" s="12"/>
    </row>
    <row r="13" spans="1:45" ht="120" customHeight="1" x14ac:dyDescent="0.3">
      <c r="A13" s="300"/>
      <c r="B13" s="24" t="s">
        <v>17</v>
      </c>
      <c r="C13" s="16" t="s">
        <v>515</v>
      </c>
      <c r="D13" s="16" t="s">
        <v>316</v>
      </c>
      <c r="E13" s="16" t="s">
        <v>313</v>
      </c>
      <c r="F13" s="8" t="s">
        <v>18</v>
      </c>
      <c r="G13" s="6" t="s">
        <v>34</v>
      </c>
      <c r="H13" s="8" t="s">
        <v>72</v>
      </c>
      <c r="I13" s="21">
        <v>2E-3</v>
      </c>
      <c r="J13" s="22" t="s">
        <v>513</v>
      </c>
      <c r="K13" s="254">
        <v>2E-3</v>
      </c>
      <c r="L13" s="254"/>
      <c r="M13" s="254"/>
      <c r="N13" s="254"/>
      <c r="O13" s="28" t="s">
        <v>105</v>
      </c>
      <c r="P13" s="28" t="s">
        <v>104</v>
      </c>
      <c r="Q13" s="22">
        <v>4.0000000000000001E-3</v>
      </c>
      <c r="R13" s="252"/>
      <c r="S13" s="21" t="s">
        <v>1165</v>
      </c>
      <c r="T13" s="252"/>
      <c r="U13" s="21">
        <v>-3.9300000000000002E-2</v>
      </c>
      <c r="V13" s="21">
        <v>2E-3</v>
      </c>
      <c r="W13" s="255"/>
      <c r="X13" s="255"/>
      <c r="Y13" s="255"/>
      <c r="Z13" s="261"/>
      <c r="AA13" s="24" t="s">
        <v>19</v>
      </c>
      <c r="AB13" s="7" t="s">
        <v>32</v>
      </c>
      <c r="AC13" s="265" t="s">
        <v>33</v>
      </c>
      <c r="AD13" s="257" t="s">
        <v>1075</v>
      </c>
      <c r="AE13" s="257"/>
      <c r="AF13" s="257"/>
      <c r="AG13" s="257"/>
      <c r="AH13" s="257"/>
      <c r="AI13" s="257"/>
      <c r="AJ13" s="257"/>
      <c r="AK13" s="257"/>
      <c r="AL13" s="257"/>
      <c r="AM13" s="257"/>
      <c r="AN13" s="12"/>
      <c r="AO13" s="12"/>
      <c r="AP13" s="12"/>
      <c r="AQ13" s="12"/>
    </row>
    <row r="14" spans="1:45" ht="120" customHeight="1" x14ac:dyDescent="0.3">
      <c r="A14" s="300"/>
      <c r="B14" s="24" t="s">
        <v>20</v>
      </c>
      <c r="C14" s="16" t="s">
        <v>515</v>
      </c>
      <c r="D14" s="16" t="s">
        <v>515</v>
      </c>
      <c r="E14" s="16" t="s">
        <v>33</v>
      </c>
      <c r="F14" s="8" t="s">
        <v>18</v>
      </c>
      <c r="G14" s="6" t="s">
        <v>35</v>
      </c>
      <c r="H14" s="6" t="s">
        <v>27</v>
      </c>
      <c r="I14" s="21">
        <v>1E-3</v>
      </c>
      <c r="J14" s="22" t="s">
        <v>514</v>
      </c>
      <c r="K14" s="254">
        <v>1E-3</v>
      </c>
      <c r="L14" s="254"/>
      <c r="M14" s="254"/>
      <c r="N14" s="28" t="s">
        <v>107</v>
      </c>
      <c r="O14" s="21" t="s">
        <v>108</v>
      </c>
      <c r="P14" s="28" t="s">
        <v>106</v>
      </c>
      <c r="Q14" s="22">
        <v>1E-3</v>
      </c>
      <c r="R14" s="252"/>
      <c r="S14" s="21" t="s">
        <v>33</v>
      </c>
      <c r="T14" s="252"/>
      <c r="U14" s="21">
        <v>-4.0300000000000002E-2</v>
      </c>
      <c r="V14" s="21">
        <v>1E-3</v>
      </c>
      <c r="W14" s="255" t="s">
        <v>33</v>
      </c>
      <c r="X14" s="255"/>
      <c r="Y14" s="255"/>
      <c r="Z14" s="255"/>
      <c r="AA14" s="24" t="s">
        <v>36</v>
      </c>
      <c r="AB14" s="7" t="s">
        <v>32</v>
      </c>
      <c r="AC14" s="265"/>
      <c r="AD14" s="257" t="s">
        <v>1076</v>
      </c>
      <c r="AE14" s="257"/>
      <c r="AF14" s="257"/>
      <c r="AG14" s="257"/>
      <c r="AH14" s="257"/>
      <c r="AI14" s="257"/>
      <c r="AJ14" s="257"/>
      <c r="AK14" s="257"/>
      <c r="AL14" s="257"/>
      <c r="AM14" s="257"/>
      <c r="AN14" s="12"/>
      <c r="AO14" s="12"/>
      <c r="AP14" s="12"/>
      <c r="AQ14" s="12"/>
    </row>
    <row r="15" spans="1:45" s="15" customFormat="1" ht="25.05" customHeight="1" x14ac:dyDescent="0.3">
      <c r="A15" s="300"/>
      <c r="B15" s="300"/>
      <c r="C15" s="300"/>
      <c r="D15" s="300"/>
      <c r="E15" s="300"/>
      <c r="F15" s="300"/>
      <c r="G15" s="300"/>
      <c r="H15" s="300"/>
      <c r="I15" s="300"/>
      <c r="J15" s="300"/>
      <c r="K15" s="300"/>
      <c r="L15" s="300"/>
      <c r="M15" s="300"/>
      <c r="N15" s="300"/>
      <c r="O15" s="300"/>
      <c r="P15" s="300"/>
      <c r="Q15" s="300"/>
      <c r="R15" s="300"/>
      <c r="S15" s="300"/>
      <c r="T15" s="300"/>
      <c r="U15" s="300"/>
      <c r="V15" s="300"/>
      <c r="W15" s="300"/>
      <c r="X15" s="300"/>
      <c r="Y15" s="300"/>
      <c r="Z15" s="300"/>
      <c r="AA15" s="300"/>
      <c r="AB15" s="300"/>
      <c r="AC15" s="300"/>
      <c r="AD15" s="300"/>
      <c r="AE15" s="300"/>
      <c r="AF15" s="300"/>
      <c r="AG15" s="300"/>
      <c r="AH15" s="300"/>
      <c r="AI15" s="300"/>
      <c r="AJ15" s="300"/>
      <c r="AK15" s="300"/>
      <c r="AL15" s="300"/>
      <c r="AM15" s="300"/>
      <c r="AN15" s="14"/>
      <c r="AO15" s="14"/>
      <c r="AP15" s="14"/>
      <c r="AQ15" s="14"/>
    </row>
    <row r="16" spans="1:45" ht="25.05" customHeight="1" x14ac:dyDescent="0.3">
      <c r="A16" s="325" t="s">
        <v>44</v>
      </c>
      <c r="B16" s="275" t="s">
        <v>155</v>
      </c>
      <c r="C16" s="275"/>
      <c r="D16" s="275"/>
      <c r="E16" s="275"/>
      <c r="F16" s="275"/>
      <c r="G16" s="275"/>
      <c r="H16" s="275"/>
      <c r="I16" s="275"/>
      <c r="J16" s="275"/>
      <c r="K16" s="275"/>
      <c r="L16" s="275"/>
      <c r="M16" s="275"/>
      <c r="N16" s="275"/>
      <c r="O16" s="275"/>
      <c r="P16" s="275"/>
      <c r="Q16" s="275"/>
      <c r="R16" s="275"/>
      <c r="S16" s="275"/>
      <c r="T16" s="275"/>
      <c r="U16" s="275"/>
      <c r="V16" s="275"/>
      <c r="W16" s="275"/>
      <c r="X16" s="275"/>
      <c r="Y16" s="275"/>
      <c r="Z16" s="275"/>
      <c r="AA16" s="275"/>
      <c r="AB16" s="275"/>
      <c r="AC16" s="275"/>
      <c r="AD16" s="275"/>
      <c r="AE16" s="275"/>
      <c r="AF16" s="275"/>
      <c r="AG16" s="275"/>
      <c r="AH16" s="275"/>
      <c r="AI16" s="275"/>
      <c r="AJ16" s="275"/>
      <c r="AK16" s="275"/>
      <c r="AL16" s="275"/>
      <c r="AM16" s="275"/>
      <c r="AN16" s="4"/>
      <c r="AO16" s="4"/>
      <c r="AP16" s="4"/>
      <c r="AQ16" s="4"/>
    </row>
    <row r="17" spans="1:43" ht="109.95" customHeight="1" x14ac:dyDescent="0.3">
      <c r="A17" s="325"/>
      <c r="B17" s="24" t="s">
        <v>45</v>
      </c>
      <c r="C17" s="16">
        <v>5900</v>
      </c>
      <c r="D17" s="16">
        <v>5900</v>
      </c>
      <c r="E17" s="16" t="s">
        <v>260</v>
      </c>
      <c r="F17" s="8" t="s">
        <v>46</v>
      </c>
      <c r="G17" s="6" t="s">
        <v>884</v>
      </c>
      <c r="H17" s="8" t="s">
        <v>72</v>
      </c>
      <c r="I17" s="23" t="s">
        <v>885</v>
      </c>
      <c r="J17" s="23">
        <v>0.01</v>
      </c>
      <c r="K17" s="297">
        <v>0.01</v>
      </c>
      <c r="L17" s="297"/>
      <c r="M17" s="297"/>
      <c r="N17" s="297"/>
      <c r="O17" s="28" t="s">
        <v>109</v>
      </c>
      <c r="P17" s="23">
        <v>0.02</v>
      </c>
      <c r="Q17" s="23">
        <v>0.01</v>
      </c>
      <c r="R17" s="21">
        <v>0</v>
      </c>
      <c r="S17" s="21" t="s">
        <v>1200</v>
      </c>
      <c r="T17" s="21">
        <v>1.17E-2</v>
      </c>
      <c r="U17" s="21">
        <v>8.3000000000000001E-3</v>
      </c>
      <c r="V17" s="21" t="s">
        <v>33</v>
      </c>
      <c r="W17" s="20" t="s">
        <v>110</v>
      </c>
      <c r="X17" s="20" t="s">
        <v>111</v>
      </c>
      <c r="Y17" s="20" t="s">
        <v>58</v>
      </c>
      <c r="Z17" s="258" t="s">
        <v>75</v>
      </c>
      <c r="AA17" s="24" t="s">
        <v>47</v>
      </c>
      <c r="AB17" s="7" t="s">
        <v>32</v>
      </c>
      <c r="AC17" s="277" t="s">
        <v>32</v>
      </c>
      <c r="AD17" s="257" t="s">
        <v>73</v>
      </c>
      <c r="AE17" s="257"/>
      <c r="AF17" s="257"/>
      <c r="AG17" s="257"/>
      <c r="AH17" s="257"/>
      <c r="AI17" s="257"/>
      <c r="AJ17" s="257"/>
      <c r="AK17" s="257"/>
      <c r="AL17" s="257"/>
      <c r="AM17" s="257"/>
      <c r="AN17" s="10"/>
      <c r="AO17" s="10"/>
      <c r="AP17" s="10"/>
      <c r="AQ17" s="10"/>
    </row>
    <row r="18" spans="1:43" ht="109.95" customHeight="1" x14ac:dyDescent="0.3">
      <c r="A18" s="325"/>
      <c r="B18" s="24" t="s">
        <v>53</v>
      </c>
      <c r="C18" s="299" t="s">
        <v>54</v>
      </c>
      <c r="D18" s="299"/>
      <c r="E18" s="17" t="s">
        <v>55</v>
      </c>
      <c r="F18" s="8" t="s">
        <v>41</v>
      </c>
      <c r="G18" s="37" t="s">
        <v>516</v>
      </c>
      <c r="H18" s="6" t="s">
        <v>42</v>
      </c>
      <c r="I18" s="8" t="s">
        <v>283</v>
      </c>
      <c r="J18" s="21">
        <v>2.5000000000000001E-3</v>
      </c>
      <c r="K18" s="255" t="s">
        <v>283</v>
      </c>
      <c r="L18" s="255"/>
      <c r="M18" s="255"/>
      <c r="N18" s="255"/>
      <c r="O18" s="255"/>
      <c r="P18" s="255"/>
      <c r="Q18" s="255"/>
      <c r="R18" s="255"/>
      <c r="S18" s="255"/>
      <c r="T18" s="255"/>
      <c r="U18" s="255"/>
      <c r="V18" s="255"/>
      <c r="W18" s="255"/>
      <c r="X18" s="255"/>
      <c r="Y18" s="255"/>
      <c r="Z18" s="258"/>
      <c r="AA18" s="24" t="s">
        <v>43</v>
      </c>
      <c r="AB18" s="7" t="s">
        <v>32</v>
      </c>
      <c r="AC18" s="277"/>
      <c r="AD18" s="293" t="s">
        <v>284</v>
      </c>
      <c r="AE18" s="293"/>
      <c r="AF18" s="293"/>
      <c r="AG18" s="293"/>
      <c r="AH18" s="293"/>
      <c r="AI18" s="293"/>
      <c r="AJ18" s="293"/>
      <c r="AK18" s="293"/>
      <c r="AL18" s="293"/>
      <c r="AM18" s="293"/>
      <c r="AN18" s="11"/>
      <c r="AO18" s="11"/>
      <c r="AP18" s="11"/>
      <c r="AQ18" s="11"/>
    </row>
    <row r="19" spans="1:43" ht="109.95" customHeight="1" x14ac:dyDescent="0.3">
      <c r="A19" s="325"/>
      <c r="B19" s="24" t="s">
        <v>50</v>
      </c>
      <c r="C19" s="16">
        <v>3539</v>
      </c>
      <c r="D19" s="16">
        <v>3539</v>
      </c>
      <c r="E19" s="16" t="s">
        <v>261</v>
      </c>
      <c r="F19" s="8" t="s">
        <v>48</v>
      </c>
      <c r="G19" s="37" t="s">
        <v>281</v>
      </c>
      <c r="H19" s="8" t="s">
        <v>517</v>
      </c>
      <c r="I19" s="252">
        <v>5.0000000000000001E-3</v>
      </c>
      <c r="J19" s="252"/>
      <c r="K19" s="252"/>
      <c r="L19" s="252"/>
      <c r="M19" s="252"/>
      <c r="N19" s="28" t="s">
        <v>518</v>
      </c>
      <c r="O19" s="252" t="s">
        <v>33</v>
      </c>
      <c r="P19" s="21">
        <v>5.0000000000000001E-3</v>
      </c>
      <c r="Q19" s="21">
        <v>0.01</v>
      </c>
      <c r="R19" s="252">
        <v>0</v>
      </c>
      <c r="S19" s="21" t="s">
        <v>1199</v>
      </c>
      <c r="T19" s="252">
        <v>4.1300000000000003E-2</v>
      </c>
      <c r="U19" s="21">
        <v>-3.6299999999999999E-2</v>
      </c>
      <c r="V19" s="252" t="s">
        <v>33</v>
      </c>
      <c r="W19" s="8" t="s">
        <v>91</v>
      </c>
      <c r="X19" s="8" t="s">
        <v>112</v>
      </c>
      <c r="Y19" s="258" t="s">
        <v>58</v>
      </c>
      <c r="Z19" s="10" t="s">
        <v>51</v>
      </c>
      <c r="AA19" s="24" t="s">
        <v>282</v>
      </c>
      <c r="AB19" s="7" t="s">
        <v>32</v>
      </c>
      <c r="AC19" s="277"/>
      <c r="AD19" s="271" t="s">
        <v>69</v>
      </c>
      <c r="AE19" s="271"/>
      <c r="AF19" s="271"/>
      <c r="AG19" s="271"/>
      <c r="AH19" s="271"/>
      <c r="AI19" s="271"/>
      <c r="AJ19" s="271"/>
      <c r="AK19" s="271"/>
      <c r="AL19" s="271"/>
      <c r="AM19" s="271"/>
      <c r="AN19" s="4"/>
      <c r="AO19" s="4"/>
      <c r="AP19" s="4"/>
      <c r="AQ19" s="4"/>
    </row>
    <row r="20" spans="1:43" ht="109.95" customHeight="1" x14ac:dyDescent="0.3">
      <c r="A20" s="325"/>
      <c r="B20" s="24" t="s">
        <v>56</v>
      </c>
      <c r="C20" s="16">
        <v>590</v>
      </c>
      <c r="D20" s="16">
        <v>590</v>
      </c>
      <c r="E20" s="16" t="s">
        <v>262</v>
      </c>
      <c r="F20" s="8" t="s">
        <v>48</v>
      </c>
      <c r="G20" s="37" t="s">
        <v>886</v>
      </c>
      <c r="H20" s="6" t="s">
        <v>1212</v>
      </c>
      <c r="I20" s="129" t="s">
        <v>519</v>
      </c>
      <c r="J20" s="129" t="s">
        <v>887</v>
      </c>
      <c r="K20" s="252" t="s">
        <v>520</v>
      </c>
      <c r="L20" s="252"/>
      <c r="M20" s="21" t="s">
        <v>889</v>
      </c>
      <c r="N20" s="21" t="s">
        <v>521</v>
      </c>
      <c r="O20" s="252"/>
      <c r="P20" s="252" t="s">
        <v>888</v>
      </c>
      <c r="Q20" s="252"/>
      <c r="R20" s="252"/>
      <c r="S20" s="21" t="s">
        <v>1198</v>
      </c>
      <c r="T20" s="252"/>
      <c r="U20" s="21">
        <v>-3.6299999999999999E-2</v>
      </c>
      <c r="V20" s="252"/>
      <c r="W20" s="255" t="s">
        <v>33</v>
      </c>
      <c r="X20" s="255"/>
      <c r="Y20" s="258"/>
      <c r="Z20" s="8" t="s">
        <v>33</v>
      </c>
      <c r="AA20" s="24" t="s">
        <v>52</v>
      </c>
      <c r="AB20" s="7" t="s">
        <v>32</v>
      </c>
      <c r="AC20" s="277"/>
      <c r="AD20" s="271" t="s">
        <v>69</v>
      </c>
      <c r="AE20" s="271"/>
      <c r="AF20" s="271"/>
      <c r="AG20" s="271"/>
      <c r="AH20" s="271"/>
      <c r="AI20" s="271"/>
      <c r="AJ20" s="271"/>
      <c r="AK20" s="271"/>
      <c r="AL20" s="271"/>
      <c r="AM20" s="271"/>
      <c r="AN20" s="4"/>
      <c r="AO20" s="4"/>
      <c r="AP20" s="4"/>
      <c r="AQ20" s="4"/>
    </row>
    <row r="21" spans="1:43" ht="109.95" customHeight="1" x14ac:dyDescent="0.3">
      <c r="A21" s="325"/>
      <c r="B21" s="24" t="s">
        <v>131</v>
      </c>
      <c r="C21" s="16">
        <v>9439</v>
      </c>
      <c r="D21" s="16">
        <v>9439</v>
      </c>
      <c r="E21" s="16" t="s">
        <v>263</v>
      </c>
      <c r="F21" s="8" t="s">
        <v>48</v>
      </c>
      <c r="G21" s="37" t="s">
        <v>59</v>
      </c>
      <c r="H21" s="8" t="s">
        <v>517</v>
      </c>
      <c r="I21" s="21">
        <v>1.2500000000000001E-2</v>
      </c>
      <c r="J21" s="21">
        <v>1.2500000000000001E-2</v>
      </c>
      <c r="K21" s="252">
        <v>1.2500000000000001E-2</v>
      </c>
      <c r="L21" s="252"/>
      <c r="M21" s="252"/>
      <c r="N21" s="21">
        <v>2.5000000000000001E-3</v>
      </c>
      <c r="O21" s="28" t="s">
        <v>114</v>
      </c>
      <c r="P21" s="21">
        <v>0.04</v>
      </c>
      <c r="Q21" s="21">
        <v>2.5000000000000001E-2</v>
      </c>
      <c r="R21" s="252"/>
      <c r="S21" s="21" t="s">
        <v>1200</v>
      </c>
      <c r="T21" s="252"/>
      <c r="U21" s="21">
        <v>-2.8799999999999999E-2</v>
      </c>
      <c r="V21" s="252"/>
      <c r="W21" s="8" t="s">
        <v>90</v>
      </c>
      <c r="X21" s="8" t="s">
        <v>113</v>
      </c>
      <c r="Y21" s="258"/>
      <c r="Z21" s="8" t="s">
        <v>51</v>
      </c>
      <c r="AA21" s="24" t="s">
        <v>60</v>
      </c>
      <c r="AB21" s="7" t="s">
        <v>32</v>
      </c>
      <c r="AC21" s="277"/>
      <c r="AD21" s="272" t="s">
        <v>74</v>
      </c>
      <c r="AE21" s="272"/>
      <c r="AF21" s="272"/>
      <c r="AG21" s="272"/>
      <c r="AH21" s="272"/>
      <c r="AI21" s="272"/>
      <c r="AJ21" s="272"/>
      <c r="AK21" s="272"/>
      <c r="AL21" s="272"/>
      <c r="AM21" s="272"/>
      <c r="AN21" s="4"/>
      <c r="AO21" s="4"/>
      <c r="AP21" s="4"/>
      <c r="AQ21" s="4"/>
    </row>
    <row r="22" spans="1:43" ht="109.95" customHeight="1" x14ac:dyDescent="0.3">
      <c r="A22" s="325"/>
      <c r="B22" s="24" t="s">
        <v>61</v>
      </c>
      <c r="C22" s="16" t="s">
        <v>265</v>
      </c>
      <c r="D22" s="16" t="s">
        <v>265</v>
      </c>
      <c r="E22" s="16" t="s">
        <v>264</v>
      </c>
      <c r="F22" s="8" t="s">
        <v>48</v>
      </c>
      <c r="G22" s="37" t="s">
        <v>522</v>
      </c>
      <c r="H22" s="6" t="s">
        <v>279</v>
      </c>
      <c r="I22" s="129" t="s">
        <v>525</v>
      </c>
      <c r="J22" s="21" t="s">
        <v>523</v>
      </c>
      <c r="K22" s="252">
        <v>1.2500000000000001E-2</v>
      </c>
      <c r="L22" s="252"/>
      <c r="M22" s="21">
        <v>6.2500000000000003E-3</v>
      </c>
      <c r="N22" s="21">
        <v>1.2500000000000001E-2</v>
      </c>
      <c r="O22" s="21" t="s">
        <v>33</v>
      </c>
      <c r="P22" s="21">
        <v>6.3E-3</v>
      </c>
      <c r="Q22" s="21" t="s">
        <v>280</v>
      </c>
      <c r="R22" s="252"/>
      <c r="S22" s="21" t="s">
        <v>1199</v>
      </c>
      <c r="T22" s="28">
        <v>0</v>
      </c>
      <c r="U22" s="28" t="s">
        <v>280</v>
      </c>
      <c r="V22" s="21">
        <v>6.3E-3</v>
      </c>
      <c r="W22" s="20" t="s">
        <v>115</v>
      </c>
      <c r="X22" s="8" t="s">
        <v>112</v>
      </c>
      <c r="Y22" s="20" t="s">
        <v>115</v>
      </c>
      <c r="Z22" s="20" t="s">
        <v>75</v>
      </c>
      <c r="AA22" s="32" t="s">
        <v>524</v>
      </c>
      <c r="AB22" s="7" t="s">
        <v>32</v>
      </c>
      <c r="AC22" s="277"/>
      <c r="AD22" s="257" t="s">
        <v>1077</v>
      </c>
      <c r="AE22" s="293"/>
      <c r="AF22" s="293"/>
      <c r="AG22" s="293"/>
      <c r="AH22" s="293"/>
      <c r="AI22" s="293"/>
      <c r="AJ22" s="293"/>
      <c r="AK22" s="293"/>
      <c r="AL22" s="293"/>
      <c r="AM22" s="293"/>
      <c r="AN22" s="4"/>
      <c r="AO22" s="4"/>
      <c r="AP22" s="4"/>
      <c r="AQ22" s="4"/>
    </row>
    <row r="23" spans="1:43" ht="109.95" customHeight="1" x14ac:dyDescent="0.3">
      <c r="A23" s="325"/>
      <c r="B23" s="25" t="s">
        <v>276</v>
      </c>
      <c r="C23" s="17" t="s">
        <v>266</v>
      </c>
      <c r="D23" s="17" t="s">
        <v>266</v>
      </c>
      <c r="E23" s="290" t="s">
        <v>33</v>
      </c>
      <c r="F23" s="8" t="s">
        <v>278</v>
      </c>
      <c r="G23" s="38" t="s">
        <v>277</v>
      </c>
      <c r="H23" s="6" t="s">
        <v>517</v>
      </c>
      <c r="I23" s="23">
        <v>0.01</v>
      </c>
      <c r="J23" s="23">
        <v>0.01</v>
      </c>
      <c r="K23" s="297">
        <v>0.01</v>
      </c>
      <c r="L23" s="297"/>
      <c r="M23" s="297"/>
      <c r="N23" s="297"/>
      <c r="O23" s="297">
        <v>0.01</v>
      </c>
      <c r="P23" s="297"/>
      <c r="Q23" s="297"/>
      <c r="R23" s="252"/>
      <c r="S23" s="21" t="s">
        <v>1197</v>
      </c>
      <c r="T23" s="252">
        <v>4.1300000000000003E-2</v>
      </c>
      <c r="U23" s="8">
        <v>-3.13</v>
      </c>
      <c r="V23" s="20" t="s">
        <v>497</v>
      </c>
      <c r="W23" s="8" t="s">
        <v>120</v>
      </c>
      <c r="X23" s="255" t="s">
        <v>55</v>
      </c>
      <c r="Y23" s="20" t="s">
        <v>58</v>
      </c>
      <c r="Z23" s="10" t="s">
        <v>51</v>
      </c>
      <c r="AA23" s="25" t="s">
        <v>62</v>
      </c>
      <c r="AB23" s="265" t="s">
        <v>33</v>
      </c>
      <c r="AC23" s="277"/>
      <c r="AD23" s="271" t="s">
        <v>69</v>
      </c>
      <c r="AE23" s="271"/>
      <c r="AF23" s="271"/>
      <c r="AG23" s="271"/>
      <c r="AH23" s="271"/>
      <c r="AI23" s="271"/>
      <c r="AJ23" s="271"/>
      <c r="AK23" s="271"/>
      <c r="AL23" s="271"/>
      <c r="AM23" s="271"/>
      <c r="AN23" s="4"/>
      <c r="AO23" s="4"/>
      <c r="AP23" s="4"/>
      <c r="AQ23" s="4"/>
    </row>
    <row r="24" spans="1:43" ht="116.4" customHeight="1" x14ac:dyDescent="0.3">
      <c r="A24" s="325"/>
      <c r="B24" s="24" t="s">
        <v>65</v>
      </c>
      <c r="C24" s="259" t="s">
        <v>63</v>
      </c>
      <c r="D24" s="259"/>
      <c r="E24" s="290"/>
      <c r="F24" s="8" t="s">
        <v>48</v>
      </c>
      <c r="G24" s="6" t="s">
        <v>272</v>
      </c>
      <c r="H24" s="8" t="s">
        <v>517</v>
      </c>
      <c r="I24" s="21" t="s">
        <v>273</v>
      </c>
      <c r="J24" s="21" t="s">
        <v>526</v>
      </c>
      <c r="K24" s="252" t="s">
        <v>275</v>
      </c>
      <c r="L24" s="252"/>
      <c r="M24" s="252"/>
      <c r="N24" s="252"/>
      <c r="O24" s="287" t="s">
        <v>274</v>
      </c>
      <c r="P24" s="287"/>
      <c r="Q24" s="287"/>
      <c r="R24" s="252"/>
      <c r="S24" s="21" t="s">
        <v>1199</v>
      </c>
      <c r="T24" s="252"/>
      <c r="U24" s="21">
        <v>-3.6299999999999999E-2</v>
      </c>
      <c r="V24" s="252" t="s">
        <v>33</v>
      </c>
      <c r="W24" s="8" t="s">
        <v>33</v>
      </c>
      <c r="X24" s="255"/>
      <c r="Y24" s="8" t="s">
        <v>33</v>
      </c>
      <c r="Z24" s="8" t="s">
        <v>33</v>
      </c>
      <c r="AA24" s="24" t="s">
        <v>64</v>
      </c>
      <c r="AB24" s="265"/>
      <c r="AC24" s="277"/>
      <c r="AD24" s="257" t="s">
        <v>1078</v>
      </c>
      <c r="AE24" s="257"/>
      <c r="AF24" s="257"/>
      <c r="AG24" s="257"/>
      <c r="AH24" s="257"/>
      <c r="AI24" s="257"/>
      <c r="AJ24" s="257"/>
      <c r="AK24" s="257"/>
      <c r="AL24" s="257"/>
      <c r="AM24" s="257"/>
      <c r="AN24" s="4"/>
      <c r="AO24" s="4"/>
      <c r="AP24" s="4"/>
      <c r="AQ24" s="4"/>
    </row>
    <row r="25" spans="1:43" ht="132.6" customHeight="1" x14ac:dyDescent="0.3">
      <c r="A25" s="325"/>
      <c r="B25" s="25" t="s">
        <v>66</v>
      </c>
      <c r="C25" s="259"/>
      <c r="D25" s="259"/>
      <c r="E25" s="290"/>
      <c r="F25" s="8" t="s">
        <v>1</v>
      </c>
      <c r="G25" s="37" t="s">
        <v>270</v>
      </c>
      <c r="H25" s="6" t="s">
        <v>1213</v>
      </c>
      <c r="I25" s="8" t="s">
        <v>116</v>
      </c>
      <c r="J25" s="23" t="s">
        <v>271</v>
      </c>
      <c r="K25" s="255" t="s">
        <v>116</v>
      </c>
      <c r="L25" s="255"/>
      <c r="M25" s="255"/>
      <c r="N25" s="20" t="s">
        <v>116</v>
      </c>
      <c r="O25" s="21" t="s">
        <v>33</v>
      </c>
      <c r="P25" s="252" t="s">
        <v>116</v>
      </c>
      <c r="Q25" s="252"/>
      <c r="R25" s="252"/>
      <c r="S25" s="21" t="s">
        <v>1199</v>
      </c>
      <c r="T25" s="252"/>
      <c r="U25" s="21">
        <v>-1.1299999999999999E-2</v>
      </c>
      <c r="V25" s="252"/>
      <c r="W25" s="8" t="s">
        <v>119</v>
      </c>
      <c r="X25" s="255"/>
      <c r="Y25" s="258" t="s">
        <v>58</v>
      </c>
      <c r="Z25" s="261" t="s">
        <v>51</v>
      </c>
      <c r="AA25" s="40" t="s">
        <v>67</v>
      </c>
      <c r="AB25" s="265"/>
      <c r="AC25" s="277"/>
      <c r="AD25" s="257"/>
      <c r="AE25" s="257"/>
      <c r="AF25" s="257"/>
      <c r="AG25" s="257"/>
      <c r="AH25" s="257"/>
      <c r="AI25" s="257"/>
      <c r="AJ25" s="257"/>
      <c r="AK25" s="257"/>
      <c r="AL25" s="257"/>
      <c r="AM25" s="257"/>
      <c r="AN25" s="4"/>
      <c r="AO25" s="4"/>
      <c r="AP25" s="4"/>
      <c r="AQ25" s="4"/>
    </row>
    <row r="26" spans="1:43" ht="135.6" customHeight="1" x14ac:dyDescent="0.3">
      <c r="A26" s="325"/>
      <c r="B26" s="25" t="s">
        <v>68</v>
      </c>
      <c r="C26" s="259"/>
      <c r="D26" s="259"/>
      <c r="E26" s="290"/>
      <c r="F26" s="8" t="s">
        <v>48</v>
      </c>
      <c r="G26" s="6" t="s">
        <v>267</v>
      </c>
      <c r="H26" s="8" t="s">
        <v>517</v>
      </c>
      <c r="I26" s="23" t="s">
        <v>528</v>
      </c>
      <c r="J26" s="23" t="s">
        <v>527</v>
      </c>
      <c r="K26" s="252" t="s">
        <v>528</v>
      </c>
      <c r="L26" s="252"/>
      <c r="M26" s="23" t="s">
        <v>269</v>
      </c>
      <c r="N26" s="21" t="s">
        <v>268</v>
      </c>
      <c r="O26" s="21" t="s">
        <v>33</v>
      </c>
      <c r="P26" s="252" t="s">
        <v>529</v>
      </c>
      <c r="Q26" s="252"/>
      <c r="R26" s="252"/>
      <c r="S26" s="21" t="s">
        <v>1199</v>
      </c>
      <c r="T26" s="252"/>
      <c r="U26" s="21">
        <f>-1.13% / 0.37</f>
        <v>-3.0540540540540537E-2</v>
      </c>
      <c r="V26" s="252"/>
      <c r="W26" s="8" t="s">
        <v>118</v>
      </c>
      <c r="X26" s="255"/>
      <c r="Y26" s="258"/>
      <c r="Z26" s="261"/>
      <c r="AA26" s="24" t="s">
        <v>530</v>
      </c>
      <c r="AB26" s="265"/>
      <c r="AC26" s="277"/>
      <c r="AD26" s="257"/>
      <c r="AE26" s="257"/>
      <c r="AF26" s="257"/>
      <c r="AG26" s="257"/>
      <c r="AH26" s="257"/>
      <c r="AI26" s="257"/>
      <c r="AJ26" s="257"/>
      <c r="AK26" s="257"/>
      <c r="AL26" s="257"/>
      <c r="AM26" s="257"/>
      <c r="AN26" s="4"/>
      <c r="AO26" s="4"/>
      <c r="AP26" s="4"/>
      <c r="AQ26" s="4"/>
    </row>
    <row r="27" spans="1:43" ht="25.05" customHeight="1" x14ac:dyDescent="0.3">
      <c r="A27" s="310"/>
      <c r="B27" s="310"/>
      <c r="C27" s="310"/>
      <c r="D27" s="310"/>
      <c r="E27" s="310"/>
      <c r="F27" s="310"/>
      <c r="G27" s="310"/>
      <c r="H27" s="310"/>
      <c r="I27" s="310"/>
      <c r="J27" s="310"/>
      <c r="K27" s="310"/>
      <c r="L27" s="310"/>
      <c r="M27" s="310"/>
      <c r="N27" s="310"/>
      <c r="O27" s="310"/>
      <c r="P27" s="310"/>
      <c r="Q27" s="310"/>
      <c r="R27" s="310"/>
      <c r="S27" s="310"/>
      <c r="T27" s="310"/>
      <c r="U27" s="310"/>
      <c r="V27" s="310"/>
      <c r="W27" s="310"/>
      <c r="X27" s="310"/>
      <c r="Y27" s="310"/>
      <c r="Z27" s="310"/>
      <c r="AA27" s="310"/>
      <c r="AB27" s="310"/>
      <c r="AC27" s="310"/>
      <c r="AD27" s="310"/>
      <c r="AE27" s="310"/>
      <c r="AF27" s="310"/>
      <c r="AG27" s="310"/>
      <c r="AH27" s="310"/>
      <c r="AI27" s="310"/>
      <c r="AJ27" s="310"/>
      <c r="AK27" s="310"/>
      <c r="AL27" s="310"/>
      <c r="AM27" s="310"/>
      <c r="AN27" s="4"/>
      <c r="AO27" s="4"/>
      <c r="AP27" s="4"/>
      <c r="AQ27" s="4"/>
    </row>
    <row r="28" spans="1:43" ht="25.05" customHeight="1" x14ac:dyDescent="0.3">
      <c r="A28" s="314" t="s">
        <v>382</v>
      </c>
      <c r="B28" s="275" t="s">
        <v>495</v>
      </c>
      <c r="C28" s="275"/>
      <c r="D28" s="275"/>
      <c r="E28" s="275"/>
      <c r="F28" s="275"/>
      <c r="G28" s="275"/>
      <c r="H28" s="275"/>
      <c r="I28" s="275"/>
      <c r="J28" s="275"/>
      <c r="K28" s="275"/>
      <c r="L28" s="275"/>
      <c r="M28" s="275"/>
      <c r="N28" s="275"/>
      <c r="O28" s="275"/>
      <c r="P28" s="275"/>
      <c r="Q28" s="275"/>
      <c r="R28" s="275"/>
      <c r="S28" s="275"/>
      <c r="T28" s="275"/>
      <c r="U28" s="275"/>
      <c r="V28" s="275"/>
      <c r="W28" s="275"/>
      <c r="X28" s="275"/>
      <c r="Y28" s="275"/>
      <c r="Z28" s="275"/>
      <c r="AA28" s="275"/>
      <c r="AB28" s="275"/>
      <c r="AC28" s="275"/>
      <c r="AD28" s="275"/>
      <c r="AE28" s="275"/>
      <c r="AF28" s="275"/>
      <c r="AG28" s="275"/>
      <c r="AH28" s="275"/>
      <c r="AI28" s="275"/>
      <c r="AJ28" s="275"/>
      <c r="AK28" s="275"/>
      <c r="AL28" s="275"/>
      <c r="AM28" s="275"/>
      <c r="AN28" s="4"/>
      <c r="AO28" s="4"/>
      <c r="AP28" s="4"/>
      <c r="AQ28" s="4"/>
    </row>
    <row r="29" spans="1:43" ht="25.05" customHeight="1" x14ac:dyDescent="0.3">
      <c r="A29" s="314"/>
      <c r="B29" s="289" t="s">
        <v>389</v>
      </c>
      <c r="C29" s="289"/>
      <c r="D29" s="289"/>
      <c r="E29" s="289"/>
      <c r="F29" s="289"/>
      <c r="G29" s="289"/>
      <c r="H29" s="289"/>
      <c r="I29" s="289"/>
      <c r="J29" s="289"/>
      <c r="K29" s="289"/>
      <c r="L29" s="289"/>
      <c r="M29" s="289"/>
      <c r="N29" s="289"/>
      <c r="O29" s="289"/>
      <c r="P29" s="289"/>
      <c r="Q29" s="289"/>
      <c r="R29" s="289"/>
      <c r="S29" s="289"/>
      <c r="T29" s="289"/>
      <c r="U29" s="289"/>
      <c r="V29" s="289"/>
      <c r="W29" s="289"/>
      <c r="X29" s="289"/>
      <c r="Y29" s="289"/>
      <c r="Z29" s="289"/>
      <c r="AA29" s="289"/>
      <c r="AB29" s="289"/>
      <c r="AC29" s="289"/>
      <c r="AD29" s="289"/>
      <c r="AE29" s="289"/>
      <c r="AF29" s="289"/>
      <c r="AG29" s="289"/>
      <c r="AH29" s="289"/>
      <c r="AI29" s="289"/>
      <c r="AJ29" s="289"/>
      <c r="AK29" s="289"/>
      <c r="AL29" s="289"/>
      <c r="AM29" s="289"/>
      <c r="AN29" s="4"/>
      <c r="AO29" s="4"/>
      <c r="AP29" s="4"/>
      <c r="AQ29" s="4"/>
    </row>
    <row r="30" spans="1:43" ht="199.95" customHeight="1" x14ac:dyDescent="0.3">
      <c r="A30" s="314"/>
      <c r="B30" s="24" t="s">
        <v>386</v>
      </c>
      <c r="C30" s="16">
        <v>14750</v>
      </c>
      <c r="D30" s="16">
        <v>14750</v>
      </c>
      <c r="E30" s="16" t="s">
        <v>400</v>
      </c>
      <c r="F30" s="8" t="s">
        <v>46</v>
      </c>
      <c r="G30" s="6" t="s">
        <v>409</v>
      </c>
      <c r="H30" s="6" t="s">
        <v>1116</v>
      </c>
      <c r="I30" s="55" t="s">
        <v>407</v>
      </c>
      <c r="J30" s="309" t="s">
        <v>422</v>
      </c>
      <c r="K30" s="298" t="s">
        <v>414</v>
      </c>
      <c r="L30" s="252" t="s">
        <v>408</v>
      </c>
      <c r="M30" s="252"/>
      <c r="N30" s="252"/>
      <c r="O30" s="252" t="s">
        <v>33</v>
      </c>
      <c r="P30" s="252" t="s">
        <v>408</v>
      </c>
      <c r="Q30" s="252"/>
      <c r="R30" s="252">
        <v>0</v>
      </c>
      <c r="S30" s="21" t="s">
        <v>1216</v>
      </c>
      <c r="T30" s="252">
        <v>2.3599999999999999E-2</v>
      </c>
      <c r="U30" s="287">
        <v>9.7000000000000003E-3</v>
      </c>
      <c r="V30" s="252" t="s">
        <v>33</v>
      </c>
      <c r="W30" s="258" t="s">
        <v>87</v>
      </c>
      <c r="X30" s="258"/>
      <c r="Y30" s="255" t="s">
        <v>33</v>
      </c>
      <c r="Z30" s="258" t="s">
        <v>75</v>
      </c>
      <c r="AA30" s="32" t="s">
        <v>47</v>
      </c>
      <c r="AB30" s="7" t="s">
        <v>32</v>
      </c>
      <c r="AC30" s="277" t="s">
        <v>32</v>
      </c>
      <c r="AD30" s="257" t="s">
        <v>1079</v>
      </c>
      <c r="AE30" s="257"/>
      <c r="AF30" s="257"/>
      <c r="AG30" s="257"/>
      <c r="AH30" s="257"/>
      <c r="AI30" s="257"/>
      <c r="AJ30" s="257"/>
      <c r="AK30" s="257"/>
      <c r="AL30" s="257"/>
      <c r="AM30" s="257"/>
      <c r="AN30" s="4"/>
      <c r="AO30" s="4"/>
      <c r="AP30" s="4"/>
      <c r="AQ30" s="4"/>
    </row>
    <row r="31" spans="1:43" ht="199.95" customHeight="1" x14ac:dyDescent="0.3">
      <c r="A31" s="314"/>
      <c r="B31" s="24" t="s">
        <v>387</v>
      </c>
      <c r="C31" s="16">
        <v>11800</v>
      </c>
      <c r="D31" s="16">
        <v>11800</v>
      </c>
      <c r="E31" s="16" t="s">
        <v>260</v>
      </c>
      <c r="F31" s="8" t="s">
        <v>46</v>
      </c>
      <c r="G31" s="6" t="s">
        <v>1127</v>
      </c>
      <c r="H31" s="6" t="s">
        <v>1128</v>
      </c>
      <c r="I31" s="55" t="s">
        <v>407</v>
      </c>
      <c r="J31" s="309"/>
      <c r="K31" s="298"/>
      <c r="L31" s="252"/>
      <c r="M31" s="252"/>
      <c r="N31" s="252"/>
      <c r="O31" s="252"/>
      <c r="P31" s="252"/>
      <c r="Q31" s="252"/>
      <c r="R31" s="252"/>
      <c r="S31" s="21" t="s">
        <v>33</v>
      </c>
      <c r="T31" s="252"/>
      <c r="U31" s="287"/>
      <c r="V31" s="252"/>
      <c r="W31" s="258"/>
      <c r="X31" s="258"/>
      <c r="Y31" s="255"/>
      <c r="Z31" s="258"/>
      <c r="AA31" s="32" t="s">
        <v>47</v>
      </c>
      <c r="AB31" s="7" t="s">
        <v>32</v>
      </c>
      <c r="AC31" s="277"/>
      <c r="AD31" s="257"/>
      <c r="AE31" s="257"/>
      <c r="AF31" s="257"/>
      <c r="AG31" s="257"/>
      <c r="AH31" s="257"/>
      <c r="AI31" s="257"/>
      <c r="AJ31" s="257"/>
      <c r="AK31" s="257"/>
      <c r="AL31" s="257"/>
      <c r="AM31" s="257"/>
      <c r="AN31" s="4"/>
      <c r="AO31" s="4"/>
      <c r="AP31" s="4"/>
      <c r="AQ31" s="4"/>
    </row>
    <row r="32" spans="1:43" ht="199.95" customHeight="1" x14ac:dyDescent="0.3">
      <c r="A32" s="314"/>
      <c r="B32" s="24" t="s">
        <v>385</v>
      </c>
      <c r="C32" s="16">
        <v>2950</v>
      </c>
      <c r="D32" s="16">
        <v>2950</v>
      </c>
      <c r="E32" s="16" t="s">
        <v>402</v>
      </c>
      <c r="F32" s="8" t="s">
        <v>48</v>
      </c>
      <c r="G32" s="37" t="s">
        <v>1133</v>
      </c>
      <c r="H32" s="6" t="s">
        <v>403</v>
      </c>
      <c r="I32" s="21" t="s">
        <v>406</v>
      </c>
      <c r="J32" s="47" t="s">
        <v>424</v>
      </c>
      <c r="K32" s="47" t="s">
        <v>890</v>
      </c>
      <c r="L32" s="252" t="s">
        <v>891</v>
      </c>
      <c r="M32" s="252"/>
      <c r="N32" s="252"/>
      <c r="O32" s="21" t="s">
        <v>33</v>
      </c>
      <c r="P32" s="252" t="s">
        <v>892</v>
      </c>
      <c r="Q32" s="252"/>
      <c r="R32" s="252"/>
      <c r="S32" s="21" t="s">
        <v>33</v>
      </c>
      <c r="T32" s="252"/>
      <c r="U32" s="21">
        <v>-1.03E-2</v>
      </c>
      <c r="V32" s="252"/>
      <c r="W32" s="8" t="s">
        <v>404</v>
      </c>
      <c r="X32" s="8" t="s">
        <v>320</v>
      </c>
      <c r="Y32" s="255"/>
      <c r="Z32" s="258"/>
      <c r="AA32" s="24" t="s">
        <v>47</v>
      </c>
      <c r="AB32" s="7" t="s">
        <v>32</v>
      </c>
      <c r="AC32" s="277"/>
      <c r="AD32" s="293" t="s">
        <v>1080</v>
      </c>
      <c r="AE32" s="293"/>
      <c r="AF32" s="293"/>
      <c r="AG32" s="293"/>
      <c r="AH32" s="293"/>
      <c r="AI32" s="293"/>
      <c r="AJ32" s="293"/>
      <c r="AK32" s="293"/>
      <c r="AL32" s="293"/>
      <c r="AM32" s="293"/>
      <c r="AN32" s="4"/>
      <c r="AO32" s="4"/>
      <c r="AP32" s="4"/>
      <c r="AQ32" s="4"/>
    </row>
    <row r="33" spans="1:45" ht="199.95" customHeight="1" x14ac:dyDescent="0.3">
      <c r="A33" s="314"/>
      <c r="B33" s="24" t="s">
        <v>388</v>
      </c>
      <c r="C33" s="16">
        <v>1180</v>
      </c>
      <c r="D33" s="16">
        <v>1180</v>
      </c>
      <c r="E33" s="16" t="s">
        <v>405</v>
      </c>
      <c r="F33" s="8" t="s">
        <v>48</v>
      </c>
      <c r="G33" s="37" t="s">
        <v>410</v>
      </c>
      <c r="H33" s="6" t="s">
        <v>411</v>
      </c>
      <c r="I33" s="55" t="s">
        <v>412</v>
      </c>
      <c r="J33" s="47" t="s">
        <v>423</v>
      </c>
      <c r="K33" s="47" t="s">
        <v>413</v>
      </c>
      <c r="L33" s="252" t="s">
        <v>415</v>
      </c>
      <c r="M33" s="252"/>
      <c r="N33" s="252"/>
      <c r="O33" s="28" t="s">
        <v>416</v>
      </c>
      <c r="P33" s="28" t="s">
        <v>418</v>
      </c>
      <c r="Q33" s="21" t="s">
        <v>417</v>
      </c>
      <c r="R33" s="252">
        <v>0</v>
      </c>
      <c r="S33" s="21" t="s">
        <v>33</v>
      </c>
      <c r="T33" s="252">
        <v>4.1300000000000003E-2</v>
      </c>
      <c r="U33" s="21">
        <v>-2.8000000000000001E-2</v>
      </c>
      <c r="V33" s="252"/>
      <c r="W33" s="255" t="s">
        <v>420</v>
      </c>
      <c r="X33" s="255"/>
      <c r="Y33" s="255"/>
      <c r="Z33" s="8" t="s">
        <v>419</v>
      </c>
      <c r="AA33" s="32" t="s">
        <v>425</v>
      </c>
      <c r="AB33" s="7" t="s">
        <v>32</v>
      </c>
      <c r="AC33" s="277"/>
      <c r="AD33" s="258" t="s">
        <v>1081</v>
      </c>
      <c r="AE33" s="258"/>
      <c r="AF33" s="258"/>
      <c r="AG33" s="258"/>
      <c r="AH33" s="258"/>
      <c r="AI33" s="258"/>
      <c r="AJ33" s="258"/>
      <c r="AK33" s="258"/>
      <c r="AL33" s="258"/>
      <c r="AM33" s="258"/>
      <c r="AN33" s="4"/>
      <c r="AO33" s="4"/>
      <c r="AP33" s="4"/>
      <c r="AQ33" s="4"/>
    </row>
    <row r="34" spans="1:45" ht="199.95" customHeight="1" x14ac:dyDescent="0.3">
      <c r="A34" s="314"/>
      <c r="B34" s="24" t="s">
        <v>384</v>
      </c>
      <c r="C34" s="16">
        <v>1180</v>
      </c>
      <c r="D34" s="16">
        <v>1180</v>
      </c>
      <c r="E34" s="16" t="s">
        <v>264</v>
      </c>
      <c r="F34" s="8" t="s">
        <v>421</v>
      </c>
      <c r="G34" s="37" t="s">
        <v>427</v>
      </c>
      <c r="H34" s="6" t="s">
        <v>428</v>
      </c>
      <c r="I34" s="130" t="s">
        <v>429</v>
      </c>
      <c r="J34" s="49" t="s">
        <v>430</v>
      </c>
      <c r="K34" s="48" t="s">
        <v>431</v>
      </c>
      <c r="L34" s="297">
        <v>0.01</v>
      </c>
      <c r="M34" s="297"/>
      <c r="N34" s="297"/>
      <c r="O34" s="21" t="s">
        <v>432</v>
      </c>
      <c r="P34" s="21" t="s">
        <v>437</v>
      </c>
      <c r="Q34" s="21" t="s">
        <v>433</v>
      </c>
      <c r="R34" s="252"/>
      <c r="S34" s="21" t="s">
        <v>1222</v>
      </c>
      <c r="T34" s="252"/>
      <c r="U34" s="21">
        <v>-3.1300000000000001E-2</v>
      </c>
      <c r="V34" s="252"/>
      <c r="W34" s="8" t="s">
        <v>434</v>
      </c>
      <c r="X34" s="8" t="s">
        <v>33</v>
      </c>
      <c r="Y34" s="255"/>
      <c r="Z34" s="8" t="s">
        <v>435</v>
      </c>
      <c r="AA34" s="24" t="s">
        <v>426</v>
      </c>
      <c r="AB34" s="7" t="s">
        <v>32</v>
      </c>
      <c r="AC34" s="277"/>
      <c r="AD34" s="257" t="s">
        <v>1082</v>
      </c>
      <c r="AE34" s="293"/>
      <c r="AF34" s="293"/>
      <c r="AG34" s="293"/>
      <c r="AH34" s="293"/>
      <c r="AI34" s="293"/>
      <c r="AJ34" s="293"/>
      <c r="AK34" s="293"/>
      <c r="AL34" s="293"/>
      <c r="AM34" s="293"/>
      <c r="AN34" s="4"/>
      <c r="AO34" s="4"/>
      <c r="AP34" s="4"/>
      <c r="AQ34" s="4"/>
    </row>
    <row r="35" spans="1:45" ht="199.95" customHeight="1" x14ac:dyDescent="0.3">
      <c r="A35" s="314"/>
      <c r="B35" s="24" t="s">
        <v>383</v>
      </c>
      <c r="C35" s="16">
        <v>590</v>
      </c>
      <c r="D35" s="16">
        <v>590</v>
      </c>
      <c r="E35" s="16">
        <v>50000</v>
      </c>
      <c r="F35" s="8" t="s">
        <v>421</v>
      </c>
      <c r="G35" s="37" t="s">
        <v>436</v>
      </c>
      <c r="H35" s="6" t="s">
        <v>438</v>
      </c>
      <c r="I35" s="130" t="s">
        <v>893</v>
      </c>
      <c r="J35" s="47" t="s">
        <v>543</v>
      </c>
      <c r="K35" s="48" t="s">
        <v>439</v>
      </c>
      <c r="L35" s="252">
        <v>3.3E-3</v>
      </c>
      <c r="M35" s="252"/>
      <c r="N35" s="252"/>
      <c r="O35" s="21" t="s">
        <v>33</v>
      </c>
      <c r="P35" s="21" t="s">
        <v>437</v>
      </c>
      <c r="Q35" s="21">
        <v>3.3E-3</v>
      </c>
      <c r="R35" s="252"/>
      <c r="S35" s="21" t="s">
        <v>1222</v>
      </c>
      <c r="T35" s="252"/>
      <c r="U35" s="21">
        <v>-3.7999999999999999E-2</v>
      </c>
      <c r="V35" s="21">
        <v>3.3E-3</v>
      </c>
      <c r="W35" s="255" t="s">
        <v>33</v>
      </c>
      <c r="X35" s="255"/>
      <c r="Y35" s="255"/>
      <c r="Z35" s="255"/>
      <c r="AA35" s="54" t="s">
        <v>440</v>
      </c>
      <c r="AB35" s="7" t="s">
        <v>32</v>
      </c>
      <c r="AC35" s="277"/>
      <c r="AD35" s="293" t="s">
        <v>494</v>
      </c>
      <c r="AE35" s="293"/>
      <c r="AF35" s="293"/>
      <c r="AG35" s="293"/>
      <c r="AH35" s="293"/>
      <c r="AI35" s="293"/>
      <c r="AJ35" s="293"/>
      <c r="AK35" s="293"/>
      <c r="AL35" s="293"/>
      <c r="AM35" s="293"/>
      <c r="AN35" s="4"/>
      <c r="AO35" s="4"/>
      <c r="AP35" s="4"/>
      <c r="AQ35" s="4"/>
    </row>
    <row r="36" spans="1:45" ht="199.95" customHeight="1" x14ac:dyDescent="0.3">
      <c r="A36" s="314"/>
      <c r="B36" s="24" t="s">
        <v>491</v>
      </c>
      <c r="C36" s="16">
        <v>590</v>
      </c>
      <c r="D36" s="16">
        <v>590</v>
      </c>
      <c r="E36" s="16">
        <v>100000</v>
      </c>
      <c r="F36" s="8" t="s">
        <v>421</v>
      </c>
      <c r="G36" s="37" t="s">
        <v>492</v>
      </c>
      <c r="H36" s="6" t="s">
        <v>441</v>
      </c>
      <c r="I36" s="23">
        <v>0.05</v>
      </c>
      <c r="J36" s="21">
        <v>0.01</v>
      </c>
      <c r="K36" s="23">
        <v>0.03</v>
      </c>
      <c r="L36" s="297">
        <v>0.01</v>
      </c>
      <c r="M36" s="297"/>
      <c r="N36" s="297"/>
      <c r="O36" s="21">
        <v>0.05</v>
      </c>
      <c r="P36" s="252">
        <v>0.05</v>
      </c>
      <c r="Q36" s="252"/>
      <c r="R36" s="252"/>
      <c r="S36" s="21" t="s">
        <v>33</v>
      </c>
      <c r="T36" s="252"/>
      <c r="U36" s="21">
        <v>-3.1300000000000001E-2</v>
      </c>
      <c r="V36" s="21">
        <v>0.01</v>
      </c>
      <c r="W36" s="255"/>
      <c r="X36" s="255"/>
      <c r="Y36" s="255"/>
      <c r="Z36" s="255"/>
      <c r="AA36" s="24" t="s">
        <v>493</v>
      </c>
      <c r="AB36" s="7" t="s">
        <v>32</v>
      </c>
      <c r="AC36" s="277"/>
      <c r="AD36" s="293"/>
      <c r="AE36" s="293"/>
      <c r="AF36" s="293"/>
      <c r="AG36" s="293"/>
      <c r="AH36" s="293"/>
      <c r="AI36" s="293"/>
      <c r="AJ36" s="293"/>
      <c r="AK36" s="293"/>
      <c r="AL36" s="293"/>
      <c r="AM36" s="293"/>
      <c r="AN36" s="4"/>
      <c r="AO36" s="4"/>
      <c r="AP36" s="4"/>
      <c r="AQ36" s="4"/>
    </row>
    <row r="37" spans="1:45" ht="199.95" customHeight="1" x14ac:dyDescent="0.3">
      <c r="A37" s="314"/>
      <c r="B37" s="24" t="s">
        <v>397</v>
      </c>
      <c r="C37" s="16">
        <v>117</v>
      </c>
      <c r="D37" s="16">
        <v>117</v>
      </c>
      <c r="E37" s="16">
        <v>25000</v>
      </c>
      <c r="F37" s="8" t="s">
        <v>421</v>
      </c>
      <c r="G37" s="37" t="s">
        <v>442</v>
      </c>
      <c r="H37" s="6" t="s">
        <v>441</v>
      </c>
      <c r="I37" s="129">
        <v>2.5000000000000001E-3</v>
      </c>
      <c r="J37" s="47" t="s">
        <v>544</v>
      </c>
      <c r="K37" s="252">
        <v>2.5000000000000001E-3</v>
      </c>
      <c r="L37" s="252"/>
      <c r="M37" s="252"/>
      <c r="N37" s="21">
        <v>5.0000000000000001E-3</v>
      </c>
      <c r="O37" s="21" t="s">
        <v>33</v>
      </c>
      <c r="P37" s="252">
        <v>7.4999999999999997E-3</v>
      </c>
      <c r="Q37" s="252"/>
      <c r="R37" s="252"/>
      <c r="S37" s="21" t="s">
        <v>33</v>
      </c>
      <c r="T37" s="252" t="s">
        <v>33</v>
      </c>
      <c r="U37" s="252"/>
      <c r="V37" s="21" t="s">
        <v>498</v>
      </c>
      <c r="W37" s="255"/>
      <c r="X37" s="255"/>
      <c r="Y37" s="255"/>
      <c r="Z37" s="255"/>
      <c r="AA37" s="24" t="s">
        <v>440</v>
      </c>
      <c r="AB37" s="7" t="s">
        <v>32</v>
      </c>
      <c r="AC37" s="277"/>
      <c r="AD37" s="293"/>
      <c r="AE37" s="293"/>
      <c r="AF37" s="293"/>
      <c r="AG37" s="293"/>
      <c r="AH37" s="293"/>
      <c r="AI37" s="293"/>
      <c r="AJ37" s="293"/>
      <c r="AK37" s="293"/>
      <c r="AL37" s="293"/>
      <c r="AM37" s="293"/>
      <c r="AN37" s="4"/>
      <c r="AO37" s="4"/>
      <c r="AP37" s="4"/>
      <c r="AQ37" s="4"/>
    </row>
    <row r="38" spans="1:45" ht="25.05" customHeight="1" x14ac:dyDescent="0.3">
      <c r="A38" s="314"/>
      <c r="B38" s="289" t="s">
        <v>390</v>
      </c>
      <c r="C38" s="289"/>
      <c r="D38" s="289"/>
      <c r="E38" s="289"/>
      <c r="F38" s="289"/>
      <c r="G38" s="289"/>
      <c r="H38" s="289"/>
      <c r="I38" s="289"/>
      <c r="J38" s="289"/>
      <c r="K38" s="289"/>
      <c r="L38" s="289"/>
      <c r="M38" s="289"/>
      <c r="N38" s="289"/>
      <c r="O38" s="289"/>
      <c r="P38" s="289"/>
      <c r="Q38" s="289"/>
      <c r="R38" s="289"/>
      <c r="S38" s="289"/>
      <c r="T38" s="289"/>
      <c r="U38" s="289"/>
      <c r="V38" s="289"/>
      <c r="W38" s="289"/>
      <c r="X38" s="289"/>
      <c r="Y38" s="289"/>
      <c r="Z38" s="289"/>
      <c r="AA38" s="289"/>
      <c r="AB38" s="289"/>
      <c r="AC38" s="289"/>
      <c r="AD38" s="289"/>
      <c r="AE38" s="289"/>
      <c r="AF38" s="289"/>
      <c r="AG38" s="289"/>
      <c r="AH38" s="289"/>
      <c r="AI38" s="289"/>
      <c r="AJ38" s="289"/>
      <c r="AK38" s="289"/>
      <c r="AL38" s="289"/>
      <c r="AM38" s="289"/>
      <c r="AN38" s="54"/>
      <c r="AO38" s="54"/>
      <c r="AP38" s="54"/>
      <c r="AQ38" s="54"/>
      <c r="AR38" s="50"/>
      <c r="AS38" s="50"/>
    </row>
    <row r="39" spans="1:45" ht="199.95" customHeight="1" x14ac:dyDescent="0.3">
      <c r="A39" s="314"/>
      <c r="B39" s="25" t="s">
        <v>784</v>
      </c>
      <c r="C39" s="17">
        <v>590</v>
      </c>
      <c r="D39" s="17">
        <v>590</v>
      </c>
      <c r="E39" s="52">
        <v>50000</v>
      </c>
      <c r="F39" s="8" t="s">
        <v>443</v>
      </c>
      <c r="G39" s="37" t="s">
        <v>444</v>
      </c>
      <c r="H39" s="6" t="s">
        <v>445</v>
      </c>
      <c r="I39" s="21">
        <v>6.4000000000000003E-3</v>
      </c>
      <c r="J39" s="21">
        <v>6.4000000000000003E-3</v>
      </c>
      <c r="K39" s="252">
        <v>6.4000000000000003E-3</v>
      </c>
      <c r="L39" s="252"/>
      <c r="M39" s="252"/>
      <c r="N39" s="21">
        <v>4.4999999999999998E-2</v>
      </c>
      <c r="O39" s="252" t="s">
        <v>33</v>
      </c>
      <c r="P39" s="21">
        <v>6.4000000000000003E-3</v>
      </c>
      <c r="Q39" s="21">
        <v>4.4999999999999998E-2</v>
      </c>
      <c r="R39" s="21" t="s">
        <v>446</v>
      </c>
      <c r="S39" s="21" t="s">
        <v>1222</v>
      </c>
      <c r="T39" s="21">
        <v>4.1300000000000003E-2</v>
      </c>
      <c r="U39" s="8">
        <v>-3.49</v>
      </c>
      <c r="V39" s="21">
        <v>6.4000000000000003E-3</v>
      </c>
      <c r="W39" s="255" t="s">
        <v>33</v>
      </c>
      <c r="X39" s="255"/>
      <c r="Y39" s="255"/>
      <c r="Z39" s="255"/>
      <c r="AA39" s="24" t="s">
        <v>447</v>
      </c>
      <c r="AB39" s="7" t="s">
        <v>32</v>
      </c>
      <c r="AC39" s="277" t="s">
        <v>32</v>
      </c>
      <c r="AD39" s="257" t="s">
        <v>1083</v>
      </c>
      <c r="AE39" s="257"/>
      <c r="AF39" s="257"/>
      <c r="AG39" s="257"/>
      <c r="AH39" s="257"/>
      <c r="AI39" s="257"/>
      <c r="AJ39" s="257"/>
      <c r="AK39" s="257"/>
      <c r="AL39" s="257"/>
      <c r="AM39" s="257"/>
      <c r="AN39" s="4"/>
      <c r="AO39" s="4"/>
      <c r="AP39" s="4"/>
      <c r="AQ39" s="4"/>
      <c r="AR39" s="51"/>
      <c r="AS39" s="51"/>
    </row>
    <row r="40" spans="1:45" ht="199.95" customHeight="1" x14ac:dyDescent="0.3">
      <c r="A40" s="314"/>
      <c r="B40" s="24" t="s">
        <v>392</v>
      </c>
      <c r="C40" s="17">
        <v>1170</v>
      </c>
      <c r="D40" s="17">
        <v>1180</v>
      </c>
      <c r="E40" s="16" t="s">
        <v>405</v>
      </c>
      <c r="F40" s="8" t="s">
        <v>448</v>
      </c>
      <c r="G40" s="37" t="s">
        <v>450</v>
      </c>
      <c r="H40" s="6" t="s">
        <v>451</v>
      </c>
      <c r="I40" s="21" t="s">
        <v>452</v>
      </c>
      <c r="J40" s="21">
        <v>1.4999999999999999E-2</v>
      </c>
      <c r="K40" s="21" t="s">
        <v>453</v>
      </c>
      <c r="L40" s="252">
        <v>1.4999999999999999E-2</v>
      </c>
      <c r="M40" s="252"/>
      <c r="N40" s="28" t="s">
        <v>455</v>
      </c>
      <c r="O40" s="252"/>
      <c r="P40" s="21">
        <v>1.4999999999999999E-2</v>
      </c>
      <c r="Q40" s="8" t="s">
        <v>456</v>
      </c>
      <c r="R40" s="252">
        <v>0</v>
      </c>
      <c r="S40" s="21" t="s">
        <v>1223</v>
      </c>
      <c r="T40" s="21">
        <v>2.3599999999999999E-2</v>
      </c>
      <c r="U40" s="8">
        <v>-0.86</v>
      </c>
      <c r="V40" s="28" t="s">
        <v>454</v>
      </c>
      <c r="W40" s="8" t="s">
        <v>90</v>
      </c>
      <c r="X40" s="20" t="s">
        <v>321</v>
      </c>
      <c r="Y40" s="8" t="s">
        <v>33</v>
      </c>
      <c r="Z40" s="258" t="s">
        <v>75</v>
      </c>
      <c r="AA40" s="266" t="s">
        <v>457</v>
      </c>
      <c r="AB40" s="7" t="s">
        <v>32</v>
      </c>
      <c r="AC40" s="277"/>
      <c r="AD40" s="257" t="s">
        <v>1084</v>
      </c>
      <c r="AE40" s="257"/>
      <c r="AF40" s="257"/>
      <c r="AG40" s="257"/>
      <c r="AH40" s="257"/>
      <c r="AI40" s="257"/>
      <c r="AJ40" s="257"/>
      <c r="AK40" s="257"/>
      <c r="AL40" s="257"/>
      <c r="AM40" s="257"/>
      <c r="AN40" s="4"/>
      <c r="AO40" s="4"/>
      <c r="AP40" s="4"/>
      <c r="AQ40" s="4"/>
    </row>
    <row r="41" spans="1:45" ht="199.95" customHeight="1" x14ac:dyDescent="0.3">
      <c r="A41" s="314"/>
      <c r="B41" s="25" t="s">
        <v>393</v>
      </c>
      <c r="C41" s="17">
        <v>590</v>
      </c>
      <c r="D41" s="17">
        <v>590</v>
      </c>
      <c r="E41" s="16" t="s">
        <v>304</v>
      </c>
      <c r="F41" s="8" t="s">
        <v>449</v>
      </c>
      <c r="G41" s="37" t="s">
        <v>459</v>
      </c>
      <c r="H41" s="6" t="s">
        <v>458</v>
      </c>
      <c r="I41" s="21" t="s">
        <v>460</v>
      </c>
      <c r="J41" s="21">
        <v>0.01</v>
      </c>
      <c r="K41" s="21" t="s">
        <v>461</v>
      </c>
      <c r="L41" s="252">
        <v>0.01</v>
      </c>
      <c r="M41" s="252"/>
      <c r="N41" s="28" t="s">
        <v>462</v>
      </c>
      <c r="O41" s="252"/>
      <c r="P41" s="21">
        <v>0.01</v>
      </c>
      <c r="Q41" s="8" t="s">
        <v>464</v>
      </c>
      <c r="R41" s="252"/>
      <c r="S41" s="21" t="s">
        <v>1222</v>
      </c>
      <c r="T41" s="252">
        <v>4.1300000000000003E-2</v>
      </c>
      <c r="U41" s="8">
        <v>-3.13</v>
      </c>
      <c r="V41" s="21" t="s">
        <v>463</v>
      </c>
      <c r="W41" s="8" t="s">
        <v>146</v>
      </c>
      <c r="X41" s="255" t="s">
        <v>33</v>
      </c>
      <c r="Y41" s="255"/>
      <c r="Z41" s="258"/>
      <c r="AA41" s="266"/>
      <c r="AB41" s="7" t="s">
        <v>32</v>
      </c>
      <c r="AC41" s="277"/>
      <c r="AD41" s="257"/>
      <c r="AE41" s="257"/>
      <c r="AF41" s="257"/>
      <c r="AG41" s="257"/>
      <c r="AH41" s="257"/>
      <c r="AI41" s="257"/>
      <c r="AJ41" s="257"/>
      <c r="AK41" s="257"/>
      <c r="AL41" s="257"/>
      <c r="AM41" s="257"/>
      <c r="AN41" s="4"/>
      <c r="AO41" s="4"/>
      <c r="AP41" s="4"/>
      <c r="AQ41" s="4"/>
    </row>
    <row r="42" spans="1:45" ht="199.95" customHeight="1" x14ac:dyDescent="0.3">
      <c r="A42" s="314"/>
      <c r="B42" s="25" t="s">
        <v>391</v>
      </c>
      <c r="C42" s="17">
        <v>590</v>
      </c>
      <c r="D42" s="17">
        <v>590</v>
      </c>
      <c r="E42" s="16" t="s">
        <v>313</v>
      </c>
      <c r="F42" s="8" t="s">
        <v>1</v>
      </c>
      <c r="G42" s="37" t="s">
        <v>465</v>
      </c>
      <c r="H42" s="6" t="s">
        <v>466</v>
      </c>
      <c r="I42" s="21">
        <v>0.05</v>
      </c>
      <c r="J42" s="21">
        <v>0.01</v>
      </c>
      <c r="K42" s="21">
        <v>0.05</v>
      </c>
      <c r="L42" s="21">
        <v>0.01</v>
      </c>
      <c r="M42" s="21">
        <v>0.01</v>
      </c>
      <c r="N42" s="21">
        <v>0.01</v>
      </c>
      <c r="O42" s="252"/>
      <c r="P42" s="21" t="s">
        <v>467</v>
      </c>
      <c r="Q42" s="8" t="s">
        <v>467</v>
      </c>
      <c r="R42" s="252"/>
      <c r="S42" s="21" t="s">
        <v>33</v>
      </c>
      <c r="T42" s="252"/>
      <c r="U42" s="8">
        <v>-3.13</v>
      </c>
      <c r="V42" s="255" t="s">
        <v>33</v>
      </c>
      <c r="W42" s="255" t="s">
        <v>33</v>
      </c>
      <c r="X42" s="255"/>
      <c r="Y42" s="255"/>
      <c r="Z42" s="255"/>
      <c r="AA42" s="32" t="s">
        <v>468</v>
      </c>
      <c r="AB42" s="46" t="s">
        <v>32</v>
      </c>
      <c r="AC42" s="277"/>
      <c r="AD42" s="257" t="s">
        <v>1085</v>
      </c>
      <c r="AE42" s="293"/>
      <c r="AF42" s="293"/>
      <c r="AG42" s="293"/>
      <c r="AH42" s="293"/>
      <c r="AI42" s="293"/>
      <c r="AJ42" s="293"/>
      <c r="AK42" s="293"/>
      <c r="AL42" s="293"/>
      <c r="AM42" s="293"/>
      <c r="AN42" s="4"/>
      <c r="AO42" s="4"/>
      <c r="AP42" s="4"/>
      <c r="AQ42" s="4"/>
    </row>
    <row r="43" spans="1:45" ht="199.95" customHeight="1" x14ac:dyDescent="0.3">
      <c r="A43" s="314"/>
      <c r="B43" s="25" t="s">
        <v>394</v>
      </c>
      <c r="C43" s="17">
        <v>3540</v>
      </c>
      <c r="D43" s="17">
        <v>3540</v>
      </c>
      <c r="E43" s="17" t="s">
        <v>33</v>
      </c>
      <c r="F43" s="8" t="s">
        <v>469</v>
      </c>
      <c r="G43" s="37" t="s">
        <v>470</v>
      </c>
      <c r="H43" s="21" t="s">
        <v>331</v>
      </c>
      <c r="I43" s="129" t="s">
        <v>475</v>
      </c>
      <c r="J43" s="21">
        <v>6.7000000000000002E-3</v>
      </c>
      <c r="K43" s="21">
        <v>6.7000000000000002E-3</v>
      </c>
      <c r="L43" s="21">
        <v>6.7000000000000002E-3</v>
      </c>
      <c r="M43" s="21">
        <v>6.7000000000000002E-3</v>
      </c>
      <c r="N43" s="21">
        <v>6.7000000000000002E-3</v>
      </c>
      <c r="O43" s="252"/>
      <c r="P43" s="21">
        <v>1.3299999999999999E-2</v>
      </c>
      <c r="Q43" s="21">
        <v>6.7000000000000002E-3</v>
      </c>
      <c r="R43" s="252"/>
      <c r="S43" s="21" t="s">
        <v>33</v>
      </c>
      <c r="T43" s="252"/>
      <c r="U43" s="8">
        <v>-3.46</v>
      </c>
      <c r="V43" s="255"/>
      <c r="W43" s="8" t="s">
        <v>471</v>
      </c>
      <c r="X43" s="8" t="s">
        <v>472</v>
      </c>
      <c r="Y43" s="8" t="s">
        <v>33</v>
      </c>
      <c r="Z43" s="258" t="s">
        <v>75</v>
      </c>
      <c r="AA43" s="24" t="s">
        <v>473</v>
      </c>
      <c r="AB43" s="7" t="s">
        <v>32</v>
      </c>
      <c r="AC43" s="277"/>
      <c r="AD43" s="257" t="s">
        <v>474</v>
      </c>
      <c r="AE43" s="257"/>
      <c r="AF43" s="257"/>
      <c r="AG43" s="257"/>
      <c r="AH43" s="257"/>
      <c r="AI43" s="257"/>
      <c r="AJ43" s="257"/>
      <c r="AK43" s="257"/>
      <c r="AL43" s="257"/>
      <c r="AM43" s="257"/>
      <c r="AN43" s="4"/>
      <c r="AO43" s="4"/>
      <c r="AP43" s="4"/>
      <c r="AQ43" s="4"/>
    </row>
    <row r="44" spans="1:45" ht="199.95" customHeight="1" x14ac:dyDescent="0.3">
      <c r="A44" s="314"/>
      <c r="B44" s="25" t="s">
        <v>395</v>
      </c>
      <c r="C44" s="17">
        <v>590</v>
      </c>
      <c r="D44" s="17">
        <v>590</v>
      </c>
      <c r="E44" s="53" t="s">
        <v>372</v>
      </c>
      <c r="F44" s="8" t="s">
        <v>48</v>
      </c>
      <c r="G44" s="37" t="s">
        <v>477</v>
      </c>
      <c r="H44" s="6" t="s">
        <v>478</v>
      </c>
      <c r="I44" s="28" t="s">
        <v>479</v>
      </c>
      <c r="J44" s="21">
        <v>0.01</v>
      </c>
      <c r="K44" s="252">
        <v>0.01</v>
      </c>
      <c r="L44" s="252"/>
      <c r="M44" s="252"/>
      <c r="N44" s="252"/>
      <c r="O44" s="252"/>
      <c r="P44" s="252">
        <v>0.01</v>
      </c>
      <c r="Q44" s="252"/>
      <c r="R44" s="252"/>
      <c r="S44" s="34" t="s">
        <v>1222</v>
      </c>
      <c r="T44" s="252"/>
      <c r="U44" s="8">
        <v>-3.13</v>
      </c>
      <c r="V44" s="21">
        <v>0.01</v>
      </c>
      <c r="W44" s="255" t="s">
        <v>33</v>
      </c>
      <c r="X44" s="255"/>
      <c r="Y44" s="20" t="s">
        <v>90</v>
      </c>
      <c r="Z44" s="258"/>
      <c r="AA44" s="154" t="s">
        <v>476</v>
      </c>
      <c r="AB44" s="7" t="s">
        <v>32</v>
      </c>
      <c r="AC44" s="277"/>
      <c r="AD44" s="258" t="s">
        <v>1086</v>
      </c>
      <c r="AE44" s="272"/>
      <c r="AF44" s="272"/>
      <c r="AG44" s="272"/>
      <c r="AH44" s="272"/>
      <c r="AI44" s="272"/>
      <c r="AJ44" s="272"/>
      <c r="AK44" s="272"/>
      <c r="AL44" s="272"/>
      <c r="AM44" s="272"/>
      <c r="AN44" s="4"/>
      <c r="AO44" s="4"/>
      <c r="AP44" s="4"/>
      <c r="AQ44" s="4"/>
    </row>
    <row r="45" spans="1:45" ht="199.95" customHeight="1" x14ac:dyDescent="0.3">
      <c r="A45" s="314"/>
      <c r="B45" s="25" t="s">
        <v>396</v>
      </c>
      <c r="C45" s="17">
        <v>1180</v>
      </c>
      <c r="D45" s="17">
        <v>1180</v>
      </c>
      <c r="E45" s="17" t="s">
        <v>33</v>
      </c>
      <c r="F45" s="8" t="s">
        <v>480</v>
      </c>
      <c r="G45" s="37" t="s">
        <v>481</v>
      </c>
      <c r="H45" s="6" t="s">
        <v>482</v>
      </c>
      <c r="I45" s="21" t="s">
        <v>484</v>
      </c>
      <c r="J45" s="21">
        <v>0.02</v>
      </c>
      <c r="K45" s="252">
        <v>0.02</v>
      </c>
      <c r="L45" s="252"/>
      <c r="M45" s="252"/>
      <c r="N45" s="252"/>
      <c r="O45" s="252"/>
      <c r="P45" s="21">
        <v>0.03</v>
      </c>
      <c r="Q45" s="21">
        <v>0.03</v>
      </c>
      <c r="R45" s="252"/>
      <c r="S45" s="21" t="s">
        <v>33</v>
      </c>
      <c r="T45" s="21">
        <v>2.9499999999999998E-2</v>
      </c>
      <c r="U45" s="21">
        <v>-9.4999999999999998E-3</v>
      </c>
      <c r="V45" s="21" t="s">
        <v>33</v>
      </c>
      <c r="W45" s="8" t="s">
        <v>90</v>
      </c>
      <c r="X45" s="8" t="s">
        <v>33</v>
      </c>
      <c r="Y45" s="8" t="s">
        <v>33</v>
      </c>
      <c r="Z45" s="258"/>
      <c r="AA45" s="24" t="s">
        <v>483</v>
      </c>
      <c r="AB45" s="7" t="s">
        <v>32</v>
      </c>
      <c r="AC45" s="277"/>
      <c r="AD45" s="293" t="s">
        <v>485</v>
      </c>
      <c r="AE45" s="293"/>
      <c r="AF45" s="293"/>
      <c r="AG45" s="293"/>
      <c r="AH45" s="293"/>
      <c r="AI45" s="293"/>
      <c r="AJ45" s="293"/>
      <c r="AK45" s="293"/>
      <c r="AL45" s="293"/>
      <c r="AM45" s="293"/>
      <c r="AN45" s="4"/>
      <c r="AO45" s="4"/>
      <c r="AP45" s="4"/>
      <c r="AQ45" s="4"/>
    </row>
    <row r="46" spans="1:45" ht="25.05" customHeight="1" x14ac:dyDescent="0.3">
      <c r="A46" s="314"/>
      <c r="B46" s="289" t="s">
        <v>398</v>
      </c>
      <c r="C46" s="289"/>
      <c r="D46" s="289"/>
      <c r="E46" s="289"/>
      <c r="F46" s="289"/>
      <c r="G46" s="289"/>
      <c r="H46" s="289"/>
      <c r="I46" s="289"/>
      <c r="J46" s="289"/>
      <c r="K46" s="289"/>
      <c r="L46" s="289"/>
      <c r="M46" s="289"/>
      <c r="N46" s="289"/>
      <c r="O46" s="289"/>
      <c r="P46" s="289"/>
      <c r="Q46" s="289"/>
      <c r="R46" s="289"/>
      <c r="S46" s="289"/>
      <c r="T46" s="289"/>
      <c r="U46" s="289"/>
      <c r="V46" s="289"/>
      <c r="W46" s="289"/>
      <c r="X46" s="289"/>
      <c r="Y46" s="289"/>
      <c r="Z46" s="289"/>
      <c r="AA46" s="289"/>
      <c r="AB46" s="289"/>
      <c r="AC46" s="289"/>
      <c r="AD46" s="289"/>
      <c r="AE46" s="289"/>
      <c r="AF46" s="289"/>
      <c r="AG46" s="289"/>
      <c r="AH46" s="289"/>
      <c r="AI46" s="289"/>
      <c r="AJ46" s="289"/>
      <c r="AK46" s="289"/>
      <c r="AL46" s="289"/>
      <c r="AM46" s="289"/>
      <c r="AN46" s="4"/>
      <c r="AO46" s="4"/>
      <c r="AP46" s="4"/>
      <c r="AQ46" s="4"/>
    </row>
    <row r="47" spans="1:45" ht="199.95" customHeight="1" x14ac:dyDescent="0.3">
      <c r="A47" s="314"/>
      <c r="B47" s="24" t="s">
        <v>399</v>
      </c>
      <c r="C47" s="8">
        <v>11800</v>
      </c>
      <c r="D47" s="8">
        <v>11800</v>
      </c>
      <c r="E47" s="16" t="s">
        <v>486</v>
      </c>
      <c r="F47" s="8" t="s">
        <v>48</v>
      </c>
      <c r="G47" s="6" t="s">
        <v>1130</v>
      </c>
      <c r="H47" s="6" t="s">
        <v>487</v>
      </c>
      <c r="I47" s="55" t="s">
        <v>407</v>
      </c>
      <c r="J47" s="47" t="s">
        <v>488</v>
      </c>
      <c r="K47" s="252">
        <v>3.3300000000000003E-2</v>
      </c>
      <c r="L47" s="252"/>
      <c r="M47" s="252"/>
      <c r="N47" s="20" t="s">
        <v>489</v>
      </c>
      <c r="O47" s="8" t="s">
        <v>33</v>
      </c>
      <c r="P47" s="252">
        <v>3.3300000000000003E-2</v>
      </c>
      <c r="Q47" s="255"/>
      <c r="R47" s="21">
        <v>0</v>
      </c>
      <c r="S47" s="21" t="s">
        <v>33</v>
      </c>
      <c r="T47" s="21">
        <v>4.1300000000000003E-2</v>
      </c>
      <c r="U47" s="21">
        <v>-8.0000000000000002E-3</v>
      </c>
      <c r="V47" s="21" t="s">
        <v>33</v>
      </c>
      <c r="W47" s="258" t="s">
        <v>87</v>
      </c>
      <c r="X47" s="258"/>
      <c r="Y47" s="8" t="s">
        <v>33</v>
      </c>
      <c r="Z47" s="20" t="s">
        <v>75</v>
      </c>
      <c r="AA47" s="20" t="s">
        <v>490</v>
      </c>
      <c r="AB47" s="30" t="s">
        <v>32</v>
      </c>
      <c r="AC47" s="30" t="s">
        <v>32</v>
      </c>
      <c r="AD47" s="255" t="s">
        <v>1087</v>
      </c>
      <c r="AE47" s="255"/>
      <c r="AF47" s="255"/>
      <c r="AG47" s="255"/>
      <c r="AH47" s="255"/>
      <c r="AI47" s="255"/>
      <c r="AJ47" s="255"/>
      <c r="AK47" s="255"/>
      <c r="AL47" s="255"/>
      <c r="AM47" s="255"/>
      <c r="AN47" s="11"/>
      <c r="AO47" s="11"/>
      <c r="AP47" s="4"/>
      <c r="AQ47" s="4"/>
    </row>
    <row r="48" spans="1:45" ht="25.05" customHeight="1" x14ac:dyDescent="0.3">
      <c r="A48" s="304"/>
      <c r="B48" s="304"/>
      <c r="C48" s="304"/>
      <c r="D48" s="304"/>
      <c r="E48" s="304"/>
      <c r="F48" s="304"/>
      <c r="G48" s="304"/>
      <c r="H48" s="304"/>
      <c r="I48" s="304"/>
      <c r="J48" s="304"/>
      <c r="K48" s="304"/>
      <c r="L48" s="304"/>
      <c r="M48" s="304"/>
      <c r="N48" s="304"/>
      <c r="O48" s="304"/>
      <c r="P48" s="304"/>
      <c r="Q48" s="304"/>
      <c r="R48" s="304"/>
      <c r="S48" s="304"/>
      <c r="T48" s="304"/>
      <c r="U48" s="304"/>
      <c r="V48" s="304"/>
      <c r="W48" s="304"/>
      <c r="X48" s="304"/>
      <c r="Y48" s="304"/>
      <c r="Z48" s="304"/>
      <c r="AA48" s="304"/>
      <c r="AB48" s="304"/>
      <c r="AC48" s="304"/>
      <c r="AD48" s="304"/>
      <c r="AE48" s="304"/>
      <c r="AF48" s="304"/>
      <c r="AG48" s="304"/>
      <c r="AH48" s="304"/>
      <c r="AI48" s="304"/>
      <c r="AJ48" s="304"/>
      <c r="AK48" s="304"/>
      <c r="AL48" s="304"/>
      <c r="AM48" s="304"/>
      <c r="AN48" s="4"/>
      <c r="AO48" s="4"/>
      <c r="AP48" s="4"/>
      <c r="AQ48" s="4"/>
    </row>
    <row r="49" spans="1:43" ht="25.05" customHeight="1" x14ac:dyDescent="0.3">
      <c r="A49" s="303" t="s">
        <v>181</v>
      </c>
      <c r="B49" s="275" t="s">
        <v>1369</v>
      </c>
      <c r="C49" s="275"/>
      <c r="D49" s="275"/>
      <c r="E49" s="275"/>
      <c r="F49" s="275"/>
      <c r="G49" s="275"/>
      <c r="H49" s="275"/>
      <c r="I49" s="275"/>
      <c r="J49" s="275"/>
      <c r="K49" s="275"/>
      <c r="L49" s="275"/>
      <c r="M49" s="275"/>
      <c r="N49" s="275"/>
      <c r="O49" s="275"/>
      <c r="P49" s="275"/>
      <c r="Q49" s="275"/>
      <c r="R49" s="275"/>
      <c r="S49" s="275"/>
      <c r="T49" s="275"/>
      <c r="U49" s="275"/>
      <c r="V49" s="275"/>
      <c r="W49" s="275"/>
      <c r="X49" s="275"/>
      <c r="Y49" s="275"/>
      <c r="Z49" s="275"/>
      <c r="AA49" s="275"/>
      <c r="AB49" s="275"/>
      <c r="AC49" s="275"/>
      <c r="AD49" s="275"/>
      <c r="AE49" s="275"/>
      <c r="AF49" s="275"/>
      <c r="AG49" s="275"/>
      <c r="AH49" s="275"/>
      <c r="AI49" s="275"/>
      <c r="AJ49" s="275"/>
      <c r="AK49" s="275"/>
      <c r="AL49" s="275"/>
      <c r="AM49" s="275"/>
      <c r="AN49" s="4"/>
      <c r="AO49" s="4"/>
      <c r="AP49" s="4"/>
      <c r="AQ49" s="4"/>
    </row>
    <row r="50" spans="1:43" ht="109.95" customHeight="1" x14ac:dyDescent="0.3">
      <c r="A50" s="303"/>
      <c r="B50" s="29" t="s">
        <v>132</v>
      </c>
      <c r="C50" s="43">
        <v>14750</v>
      </c>
      <c r="D50" s="17">
        <v>14750</v>
      </c>
      <c r="E50" s="17" t="s">
        <v>288</v>
      </c>
      <c r="F50" s="26" t="s">
        <v>531</v>
      </c>
      <c r="G50" s="6" t="s">
        <v>532</v>
      </c>
      <c r="H50" s="6" t="s">
        <v>533</v>
      </c>
      <c r="I50" s="8" t="s">
        <v>286</v>
      </c>
      <c r="J50" s="8" t="s">
        <v>285</v>
      </c>
      <c r="K50" s="255" t="s">
        <v>1138</v>
      </c>
      <c r="L50" s="255"/>
      <c r="M50" s="255"/>
      <c r="N50" s="21" t="s">
        <v>136</v>
      </c>
      <c r="O50" s="28" t="s">
        <v>133</v>
      </c>
      <c r="P50" s="21" t="s">
        <v>135</v>
      </c>
      <c r="Q50" s="21" t="s">
        <v>332</v>
      </c>
      <c r="R50" s="21">
        <v>0</v>
      </c>
      <c r="S50" s="34" t="s">
        <v>1241</v>
      </c>
      <c r="T50" s="21">
        <v>2.3599999999999999E-2</v>
      </c>
      <c r="U50" s="21">
        <v>6.4000000000000003E-3</v>
      </c>
      <c r="V50" s="252" t="s">
        <v>33</v>
      </c>
      <c r="W50" s="8" t="s">
        <v>134</v>
      </c>
      <c r="X50" s="8" t="s">
        <v>534</v>
      </c>
      <c r="Y50" s="8" t="s">
        <v>33</v>
      </c>
      <c r="Z50" s="20" t="s">
        <v>75</v>
      </c>
      <c r="AA50" s="24" t="s">
        <v>137</v>
      </c>
      <c r="AB50" s="7" t="s">
        <v>32</v>
      </c>
      <c r="AC50" s="277" t="s">
        <v>32</v>
      </c>
      <c r="AD50" s="257" t="s">
        <v>1088</v>
      </c>
      <c r="AE50" s="257"/>
      <c r="AF50" s="257"/>
      <c r="AG50" s="257"/>
      <c r="AH50" s="257"/>
      <c r="AI50" s="257"/>
      <c r="AJ50" s="257"/>
      <c r="AK50" s="257"/>
      <c r="AL50" s="257"/>
      <c r="AM50" s="257"/>
      <c r="AN50" s="4"/>
      <c r="AO50" s="4"/>
      <c r="AP50" s="4"/>
      <c r="AQ50" s="4"/>
    </row>
    <row r="51" spans="1:43" ht="109.95" customHeight="1" x14ac:dyDescent="0.3">
      <c r="A51" s="303"/>
      <c r="B51" s="24" t="s">
        <v>138</v>
      </c>
      <c r="C51" s="283" t="s">
        <v>139</v>
      </c>
      <c r="D51" s="283"/>
      <c r="E51" s="16" t="s">
        <v>33</v>
      </c>
      <c r="F51" s="8" t="s">
        <v>140</v>
      </c>
      <c r="G51" s="36" t="s">
        <v>535</v>
      </c>
      <c r="H51" s="8" t="s">
        <v>72</v>
      </c>
      <c r="I51" s="129" t="s">
        <v>536</v>
      </c>
      <c r="J51" s="21">
        <v>0.01</v>
      </c>
      <c r="K51" s="35" t="s">
        <v>537</v>
      </c>
      <c r="L51" s="252">
        <v>0.01</v>
      </c>
      <c r="M51" s="252"/>
      <c r="N51" s="21" t="s">
        <v>538</v>
      </c>
      <c r="O51" s="21" t="s">
        <v>33</v>
      </c>
      <c r="P51" s="21" t="s">
        <v>141</v>
      </c>
      <c r="Q51" s="21" t="s">
        <v>539</v>
      </c>
      <c r="R51" s="22" t="s">
        <v>142</v>
      </c>
      <c r="S51" s="21">
        <v>0.01</v>
      </c>
      <c r="T51" s="21">
        <v>4.1300000000000003E-2</v>
      </c>
      <c r="U51" s="21">
        <v>-3.1300000000000001E-2</v>
      </c>
      <c r="V51" s="252"/>
      <c r="W51" s="255" t="s">
        <v>55</v>
      </c>
      <c r="X51" s="255"/>
      <c r="Y51" s="255"/>
      <c r="Z51" s="255"/>
      <c r="AA51" s="32" t="s">
        <v>143</v>
      </c>
      <c r="AB51" s="7" t="s">
        <v>32</v>
      </c>
      <c r="AC51" s="277"/>
      <c r="AD51" s="257" t="s">
        <v>1089</v>
      </c>
      <c r="AE51" s="257"/>
      <c r="AF51" s="257"/>
      <c r="AG51" s="257"/>
      <c r="AH51" s="257"/>
      <c r="AI51" s="257"/>
      <c r="AJ51" s="257"/>
      <c r="AK51" s="257"/>
      <c r="AL51" s="257"/>
      <c r="AM51" s="257"/>
      <c r="AN51" s="4"/>
      <c r="AO51" s="4"/>
      <c r="AP51" s="4"/>
      <c r="AQ51" s="4"/>
    </row>
    <row r="52" spans="1:43" ht="109.95" customHeight="1" x14ac:dyDescent="0.3">
      <c r="A52" s="303"/>
      <c r="B52" s="24" t="s">
        <v>144</v>
      </c>
      <c r="C52" s="299" t="s">
        <v>287</v>
      </c>
      <c r="D52" s="299"/>
      <c r="E52" s="16" t="s">
        <v>289</v>
      </c>
      <c r="F52" s="8" t="s">
        <v>48</v>
      </c>
      <c r="G52" s="6" t="s">
        <v>145</v>
      </c>
      <c r="H52" s="8" t="s">
        <v>72</v>
      </c>
      <c r="I52" s="252">
        <v>5.0000000000000001E-3</v>
      </c>
      <c r="J52" s="252"/>
      <c r="K52" s="255"/>
      <c r="L52" s="255"/>
      <c r="M52" s="255"/>
      <c r="N52" s="21" t="s">
        <v>121</v>
      </c>
      <c r="O52" s="21" t="s">
        <v>149</v>
      </c>
      <c r="P52" s="21" t="s">
        <v>141</v>
      </c>
      <c r="Q52" s="21">
        <v>5.0000000000000001E-3</v>
      </c>
      <c r="R52" s="21">
        <v>0</v>
      </c>
      <c r="S52" s="34" t="s">
        <v>1236</v>
      </c>
      <c r="T52" s="21">
        <v>4.1300000000000003E-2</v>
      </c>
      <c r="U52" s="21">
        <v>-3.6299999999999999E-2</v>
      </c>
      <c r="V52" s="21">
        <v>5.0000000000000001E-3</v>
      </c>
      <c r="W52" s="8" t="s">
        <v>146</v>
      </c>
      <c r="X52" s="8" t="s">
        <v>33</v>
      </c>
      <c r="Y52" s="8" t="s">
        <v>146</v>
      </c>
      <c r="Z52" s="10" t="s">
        <v>147</v>
      </c>
      <c r="AA52" s="24" t="s">
        <v>148</v>
      </c>
      <c r="AB52" s="30" t="s">
        <v>32</v>
      </c>
      <c r="AC52" s="277"/>
      <c r="AD52" s="257" t="s">
        <v>1090</v>
      </c>
      <c r="AE52" s="257"/>
      <c r="AF52" s="257"/>
      <c r="AG52" s="257"/>
      <c r="AH52" s="257"/>
      <c r="AI52" s="257"/>
      <c r="AJ52" s="257"/>
      <c r="AK52" s="257"/>
      <c r="AL52" s="257"/>
      <c r="AM52" s="257"/>
      <c r="AN52" s="4"/>
      <c r="AO52" s="4"/>
      <c r="AP52" s="4"/>
      <c r="AQ52" s="4"/>
    </row>
    <row r="53" spans="1:43" ht="25.05" customHeight="1" x14ac:dyDescent="0.3">
      <c r="A53" s="291"/>
      <c r="B53" s="291"/>
      <c r="C53" s="291"/>
      <c r="D53" s="291"/>
      <c r="E53" s="291"/>
      <c r="F53" s="291"/>
      <c r="G53" s="291"/>
      <c r="H53" s="291"/>
      <c r="I53" s="291"/>
      <c r="J53" s="291"/>
      <c r="K53" s="291"/>
      <c r="L53" s="291"/>
      <c r="M53" s="291"/>
      <c r="N53" s="291"/>
      <c r="O53" s="291"/>
      <c r="P53" s="291"/>
      <c r="Q53" s="291"/>
      <c r="R53" s="291"/>
      <c r="S53" s="291"/>
      <c r="T53" s="291"/>
      <c r="U53" s="291"/>
      <c r="V53" s="291"/>
      <c r="W53" s="291"/>
      <c r="X53" s="291"/>
      <c r="Y53" s="291"/>
      <c r="Z53" s="291"/>
      <c r="AA53" s="291"/>
      <c r="AB53" s="291"/>
      <c r="AC53" s="291"/>
      <c r="AD53" s="291"/>
      <c r="AE53" s="291"/>
      <c r="AF53" s="291"/>
      <c r="AG53" s="291"/>
      <c r="AH53" s="291"/>
      <c r="AI53" s="291"/>
      <c r="AJ53" s="291"/>
      <c r="AK53" s="291"/>
      <c r="AL53" s="291"/>
      <c r="AM53" s="291"/>
      <c r="AN53" s="4"/>
      <c r="AO53" s="4"/>
      <c r="AP53" s="4"/>
      <c r="AQ53" s="4"/>
    </row>
    <row r="54" spans="1:43" ht="25.05" customHeight="1" x14ac:dyDescent="0.3">
      <c r="A54" s="305" t="s">
        <v>151</v>
      </c>
      <c r="B54" s="275" t="s">
        <v>150</v>
      </c>
      <c r="C54" s="275"/>
      <c r="D54" s="275"/>
      <c r="E54" s="275"/>
      <c r="F54" s="275"/>
      <c r="G54" s="275"/>
      <c r="H54" s="275"/>
      <c r="I54" s="275"/>
      <c r="J54" s="275"/>
      <c r="K54" s="275"/>
      <c r="L54" s="275"/>
      <c r="M54" s="275"/>
      <c r="N54" s="275"/>
      <c r="O54" s="275"/>
      <c r="P54" s="275"/>
      <c r="Q54" s="275"/>
      <c r="R54" s="275"/>
      <c r="S54" s="275"/>
      <c r="T54" s="275"/>
      <c r="U54" s="275"/>
      <c r="V54" s="275"/>
      <c r="W54" s="275"/>
      <c r="X54" s="275"/>
      <c r="Y54" s="275"/>
      <c r="Z54" s="275"/>
      <c r="AA54" s="275"/>
      <c r="AB54" s="275"/>
      <c r="AC54" s="275"/>
      <c r="AD54" s="275"/>
      <c r="AE54" s="275"/>
      <c r="AF54" s="275"/>
      <c r="AG54" s="275"/>
      <c r="AH54" s="275"/>
      <c r="AI54" s="275"/>
      <c r="AJ54" s="275"/>
      <c r="AK54" s="275"/>
      <c r="AL54" s="275"/>
      <c r="AM54" s="275"/>
      <c r="AN54" s="4"/>
      <c r="AO54" s="4"/>
      <c r="AP54" s="4"/>
      <c r="AQ54" s="4"/>
    </row>
    <row r="55" spans="1:43" ht="130.05000000000001" customHeight="1" x14ac:dyDescent="0.3">
      <c r="A55" s="305"/>
      <c r="B55" s="29" t="s">
        <v>156</v>
      </c>
      <c r="C55" s="43">
        <v>1179</v>
      </c>
      <c r="D55" s="17">
        <v>1179</v>
      </c>
      <c r="E55" s="17" t="s">
        <v>259</v>
      </c>
      <c r="F55" s="26" t="s">
        <v>1</v>
      </c>
      <c r="G55" s="36" t="s">
        <v>540</v>
      </c>
      <c r="H55" s="8" t="s">
        <v>72</v>
      </c>
      <c r="I55" s="55">
        <v>0.05</v>
      </c>
      <c r="J55" s="23">
        <v>0.01</v>
      </c>
      <c r="K55" s="55">
        <v>0.05</v>
      </c>
      <c r="L55" s="28" t="s">
        <v>160</v>
      </c>
      <c r="M55" s="21">
        <v>0.01</v>
      </c>
      <c r="N55" s="21">
        <v>0</v>
      </c>
      <c r="O55" s="21" t="s">
        <v>33</v>
      </c>
      <c r="P55" s="21" t="s">
        <v>541</v>
      </c>
      <c r="Q55" s="21" t="s">
        <v>541</v>
      </c>
      <c r="R55" s="252">
        <v>0</v>
      </c>
      <c r="S55" s="34" t="s">
        <v>1242</v>
      </c>
      <c r="T55" s="252">
        <v>4.1300000000000003E-2</v>
      </c>
      <c r="U55" s="21">
        <v>-3.1300000000000001E-2</v>
      </c>
      <c r="V55" s="252" t="s">
        <v>33</v>
      </c>
      <c r="W55" s="255" t="s">
        <v>33</v>
      </c>
      <c r="X55" s="255"/>
      <c r="Y55" s="255"/>
      <c r="Z55" s="255"/>
      <c r="AA55" s="32" t="s">
        <v>82</v>
      </c>
      <c r="AB55" s="7" t="s">
        <v>32</v>
      </c>
      <c r="AC55" s="277" t="s">
        <v>32</v>
      </c>
      <c r="AD55" s="257" t="s">
        <v>1091</v>
      </c>
      <c r="AE55" s="257"/>
      <c r="AF55" s="257"/>
      <c r="AG55" s="257"/>
      <c r="AH55" s="257"/>
      <c r="AI55" s="257"/>
      <c r="AJ55" s="257"/>
      <c r="AK55" s="257"/>
      <c r="AL55" s="257"/>
      <c r="AM55" s="257"/>
      <c r="AN55" s="4"/>
      <c r="AO55" s="4"/>
      <c r="AP55" s="4"/>
      <c r="AQ55" s="4"/>
    </row>
    <row r="56" spans="1:43" ht="130.05000000000001" customHeight="1" x14ac:dyDescent="0.3">
      <c r="A56" s="305"/>
      <c r="B56" s="24" t="s">
        <v>157</v>
      </c>
      <c r="C56" s="16">
        <v>590</v>
      </c>
      <c r="D56" s="16">
        <v>590</v>
      </c>
      <c r="E56" s="16" t="s">
        <v>264</v>
      </c>
      <c r="F56" s="8" t="s">
        <v>48</v>
      </c>
      <c r="G56" s="6" t="s">
        <v>542</v>
      </c>
      <c r="H56" s="6" t="s">
        <v>164</v>
      </c>
      <c r="I56" s="21">
        <v>1.2500000000000001E-2</v>
      </c>
      <c r="J56" s="21">
        <v>2.5000000000000001E-3</v>
      </c>
      <c r="K56" s="21">
        <v>1.2500000000000001E-2</v>
      </c>
      <c r="L56" s="21">
        <v>1.2500000000000001E-2</v>
      </c>
      <c r="M56" s="21">
        <v>2.5000000000000001E-3</v>
      </c>
      <c r="N56" s="21">
        <v>2.5000000000000001E-3</v>
      </c>
      <c r="O56" s="21" t="s">
        <v>165</v>
      </c>
      <c r="P56" s="21">
        <v>1.2500000000000001E-2</v>
      </c>
      <c r="Q56" s="21">
        <v>1.2500000000000001E-2</v>
      </c>
      <c r="R56" s="252"/>
      <c r="S56" s="34" t="s">
        <v>1242</v>
      </c>
      <c r="T56" s="252"/>
      <c r="U56" s="21">
        <v>-2.8799999999999999E-2</v>
      </c>
      <c r="V56" s="252"/>
      <c r="W56" s="255"/>
      <c r="X56" s="255"/>
      <c r="Y56" s="255"/>
      <c r="Z56" s="255"/>
      <c r="AA56" s="24" t="s">
        <v>161</v>
      </c>
      <c r="AB56" s="7" t="s">
        <v>32</v>
      </c>
      <c r="AC56" s="277"/>
      <c r="AD56" s="257" t="s">
        <v>1092</v>
      </c>
      <c r="AE56" s="257"/>
      <c r="AF56" s="257"/>
      <c r="AG56" s="257"/>
      <c r="AH56" s="257"/>
      <c r="AI56" s="257"/>
      <c r="AJ56" s="257"/>
      <c r="AK56" s="257"/>
      <c r="AL56" s="257"/>
      <c r="AM56" s="257"/>
      <c r="AN56" s="4"/>
      <c r="AO56" s="4"/>
      <c r="AP56" s="4"/>
      <c r="AQ56" s="4"/>
    </row>
    <row r="57" spans="1:43" ht="130.05000000000001" customHeight="1" x14ac:dyDescent="0.3">
      <c r="A57" s="305"/>
      <c r="B57" s="24" t="s">
        <v>163</v>
      </c>
      <c r="C57" s="16">
        <v>590</v>
      </c>
      <c r="D57" s="16">
        <v>590</v>
      </c>
      <c r="E57" s="16" t="s">
        <v>264</v>
      </c>
      <c r="F57" s="8" t="s">
        <v>48</v>
      </c>
      <c r="G57" s="6" t="s">
        <v>162</v>
      </c>
      <c r="H57" s="8" t="s">
        <v>72</v>
      </c>
      <c r="I57" s="254" t="s">
        <v>296</v>
      </c>
      <c r="J57" s="254"/>
      <c r="K57" s="254"/>
      <c r="L57" s="254"/>
      <c r="M57" s="254"/>
      <c r="N57" s="21" t="s">
        <v>33</v>
      </c>
      <c r="O57" s="21" t="s">
        <v>33</v>
      </c>
      <c r="P57" s="252">
        <v>1.67E-2</v>
      </c>
      <c r="Q57" s="252"/>
      <c r="R57" s="252"/>
      <c r="S57" s="34" t="s">
        <v>1242</v>
      </c>
      <c r="T57" s="252"/>
      <c r="U57" s="21">
        <v>-3.9699999999999999E-2</v>
      </c>
      <c r="V57" s="28" t="s">
        <v>499</v>
      </c>
      <c r="W57" s="255"/>
      <c r="X57" s="255"/>
      <c r="Y57" s="255"/>
      <c r="Z57" s="255"/>
      <c r="AA57" s="24" t="s">
        <v>166</v>
      </c>
      <c r="AB57" s="30" t="s">
        <v>32</v>
      </c>
      <c r="AC57" s="277"/>
      <c r="AD57" s="257" t="s">
        <v>180</v>
      </c>
      <c r="AE57" s="257"/>
      <c r="AF57" s="257"/>
      <c r="AG57" s="257"/>
      <c r="AH57" s="257"/>
      <c r="AI57" s="257"/>
      <c r="AJ57" s="257"/>
      <c r="AK57" s="257"/>
      <c r="AL57" s="257"/>
      <c r="AM57" s="257"/>
      <c r="AN57" s="4"/>
      <c r="AO57" s="4"/>
      <c r="AP57" s="4"/>
      <c r="AQ57" s="4"/>
    </row>
    <row r="58" spans="1:43" ht="130.05000000000001" customHeight="1" x14ac:dyDescent="0.3">
      <c r="A58" s="305"/>
      <c r="B58" s="24" t="s">
        <v>290</v>
      </c>
      <c r="C58" s="16">
        <v>1770</v>
      </c>
      <c r="D58" s="16">
        <v>1770</v>
      </c>
      <c r="E58" s="16" t="s">
        <v>313</v>
      </c>
      <c r="F58" s="8" t="s">
        <v>0</v>
      </c>
      <c r="G58" s="6" t="s">
        <v>312</v>
      </c>
      <c r="H58" s="6" t="s">
        <v>314</v>
      </c>
      <c r="I58" s="22">
        <v>2.5000000000000001E-3</v>
      </c>
      <c r="J58" s="22">
        <v>2.5000000000000001E-3</v>
      </c>
      <c r="K58" s="254">
        <v>2.5600000000000002E-3</v>
      </c>
      <c r="L58" s="254"/>
      <c r="M58" s="254"/>
      <c r="N58" s="254"/>
      <c r="O58" s="21" t="s">
        <v>33</v>
      </c>
      <c r="P58" s="252">
        <v>2.5</v>
      </c>
      <c r="Q58" s="252"/>
      <c r="R58" s="28">
        <v>6.25E-2</v>
      </c>
      <c r="S58" s="34" t="s">
        <v>1243</v>
      </c>
      <c r="T58" s="252"/>
      <c r="U58" s="21">
        <v>-3.8800000000000001E-2</v>
      </c>
      <c r="V58" s="21">
        <v>2E-3</v>
      </c>
      <c r="W58" s="8" t="s">
        <v>90</v>
      </c>
      <c r="X58" s="255" t="s">
        <v>33</v>
      </c>
      <c r="Y58" s="255"/>
      <c r="Z58" s="20" t="s">
        <v>75</v>
      </c>
      <c r="AA58" s="32" t="s">
        <v>315</v>
      </c>
      <c r="AB58" s="30" t="s">
        <v>32</v>
      </c>
      <c r="AC58" s="277"/>
      <c r="AD58" s="257" t="s">
        <v>1093</v>
      </c>
      <c r="AE58" s="257"/>
      <c r="AF58" s="257"/>
      <c r="AG58" s="257"/>
      <c r="AH58" s="257"/>
      <c r="AI58" s="257"/>
      <c r="AJ58" s="257"/>
      <c r="AK58" s="257"/>
      <c r="AL58" s="257"/>
      <c r="AM58" s="257"/>
      <c r="AN58" s="4"/>
      <c r="AO58" s="4"/>
      <c r="AP58" s="4"/>
      <c r="AQ58" s="4"/>
    </row>
    <row r="59" spans="1:43" ht="130.05000000000001" customHeight="1" x14ac:dyDescent="0.3">
      <c r="A59" s="305"/>
      <c r="B59" s="33" t="s">
        <v>158</v>
      </c>
      <c r="C59" s="59">
        <v>5900</v>
      </c>
      <c r="D59" s="16">
        <v>5900</v>
      </c>
      <c r="E59" s="16" t="s">
        <v>33</v>
      </c>
      <c r="F59" s="8" t="s">
        <v>167</v>
      </c>
      <c r="G59" s="6" t="s">
        <v>169</v>
      </c>
      <c r="H59" s="8" t="s">
        <v>72</v>
      </c>
      <c r="I59" s="131" t="s">
        <v>170</v>
      </c>
      <c r="J59" s="21">
        <v>2.4E-2</v>
      </c>
      <c r="K59" s="255" t="s">
        <v>171</v>
      </c>
      <c r="L59" s="255"/>
      <c r="M59" s="255"/>
      <c r="N59" s="255"/>
      <c r="O59" s="255"/>
      <c r="P59" s="255"/>
      <c r="Q59" s="255"/>
      <c r="R59" s="255"/>
      <c r="S59" s="255"/>
      <c r="T59" s="255"/>
      <c r="U59" s="255"/>
      <c r="V59" s="8" t="s">
        <v>33</v>
      </c>
      <c r="W59" s="8" t="s">
        <v>90</v>
      </c>
      <c r="X59" s="255" t="s">
        <v>33</v>
      </c>
      <c r="Y59" s="255"/>
      <c r="Z59" s="258" t="s">
        <v>75</v>
      </c>
      <c r="AA59" s="24" t="s">
        <v>168</v>
      </c>
      <c r="AB59" s="30" t="s">
        <v>32</v>
      </c>
      <c r="AC59" s="277"/>
      <c r="AD59" s="257" t="s">
        <v>179</v>
      </c>
      <c r="AE59" s="257"/>
      <c r="AF59" s="257"/>
      <c r="AG59" s="257"/>
      <c r="AH59" s="257"/>
      <c r="AI59" s="257"/>
      <c r="AJ59" s="257"/>
      <c r="AK59" s="257"/>
      <c r="AL59" s="257"/>
      <c r="AM59" s="257"/>
      <c r="AN59" s="4"/>
      <c r="AO59" s="4"/>
      <c r="AP59" s="4"/>
      <c r="AQ59" s="4"/>
    </row>
    <row r="60" spans="1:43" ht="130.05000000000001" customHeight="1" x14ac:dyDescent="0.3">
      <c r="A60" s="305"/>
      <c r="B60" s="24" t="s">
        <v>172</v>
      </c>
      <c r="C60" s="16">
        <v>1770</v>
      </c>
      <c r="D60" s="16">
        <v>1170</v>
      </c>
      <c r="E60" s="16" t="s">
        <v>259</v>
      </c>
      <c r="F60" s="8" t="s">
        <v>48</v>
      </c>
      <c r="G60" s="6" t="s">
        <v>173</v>
      </c>
      <c r="H60" s="8" t="s">
        <v>72</v>
      </c>
      <c r="I60" s="252" t="s">
        <v>175</v>
      </c>
      <c r="J60" s="252"/>
      <c r="K60" s="252"/>
      <c r="L60" s="252"/>
      <c r="M60" s="252"/>
      <c r="N60" s="252"/>
      <c r="O60" s="252"/>
      <c r="P60" s="252"/>
      <c r="Q60" s="252"/>
      <c r="R60" s="252"/>
      <c r="S60" s="34">
        <v>0</v>
      </c>
      <c r="T60" s="21">
        <v>4.1300000000000003E-2</v>
      </c>
      <c r="U60" s="21">
        <v>-4.1300000000000003E-2</v>
      </c>
      <c r="V60" s="21" t="s">
        <v>33</v>
      </c>
      <c r="W60" s="8" t="s">
        <v>90</v>
      </c>
      <c r="X60" s="255" t="s">
        <v>33</v>
      </c>
      <c r="Y60" s="255"/>
      <c r="Z60" s="258"/>
      <c r="AA60" s="24" t="s">
        <v>174</v>
      </c>
      <c r="AB60" s="30" t="s">
        <v>32</v>
      </c>
      <c r="AC60" s="277"/>
      <c r="AD60" s="257" t="s">
        <v>69</v>
      </c>
      <c r="AE60" s="257"/>
      <c r="AF60" s="257"/>
      <c r="AG60" s="257"/>
      <c r="AH60" s="257"/>
      <c r="AI60" s="257"/>
      <c r="AJ60" s="257"/>
      <c r="AK60" s="257"/>
      <c r="AL60" s="257"/>
      <c r="AM60" s="257"/>
      <c r="AN60" s="4"/>
      <c r="AO60" s="4"/>
      <c r="AP60" s="4"/>
      <c r="AQ60" s="4"/>
    </row>
    <row r="61" spans="1:43" ht="130.05000000000001" customHeight="1" x14ac:dyDescent="0.3">
      <c r="A61" s="305"/>
      <c r="B61" s="24" t="s">
        <v>159</v>
      </c>
      <c r="C61" s="16">
        <v>5900</v>
      </c>
      <c r="D61" s="16">
        <v>5900</v>
      </c>
      <c r="E61" s="16" t="s">
        <v>288</v>
      </c>
      <c r="F61" s="8" t="s">
        <v>48</v>
      </c>
      <c r="G61" s="6" t="s">
        <v>291</v>
      </c>
      <c r="H61" s="8" t="s">
        <v>72</v>
      </c>
      <c r="I61" s="21">
        <v>5.0000000000000001E-3</v>
      </c>
      <c r="J61" s="21" t="s">
        <v>545</v>
      </c>
      <c r="K61" s="252">
        <v>5.0000000000000001E-3</v>
      </c>
      <c r="L61" s="252"/>
      <c r="M61" s="252"/>
      <c r="N61" s="34">
        <v>5.0000000000000001E-3</v>
      </c>
      <c r="O61" s="21" t="s">
        <v>176</v>
      </c>
      <c r="P61" s="252" t="s">
        <v>293</v>
      </c>
      <c r="Q61" s="252"/>
      <c r="R61" s="21">
        <v>0</v>
      </c>
      <c r="S61" s="34" t="s">
        <v>1234</v>
      </c>
      <c r="T61" s="21">
        <v>2.35E-2</v>
      </c>
      <c r="U61" s="21">
        <v>-1.8499999999999999E-2</v>
      </c>
      <c r="V61" s="21">
        <v>5.0000000000000001E-3</v>
      </c>
      <c r="W61" s="8" t="s">
        <v>90</v>
      </c>
      <c r="X61" s="8" t="s">
        <v>292</v>
      </c>
      <c r="Y61" s="8" t="s">
        <v>33</v>
      </c>
      <c r="Z61" s="258"/>
      <c r="AA61" s="32" t="s">
        <v>177</v>
      </c>
      <c r="AB61" s="30" t="s">
        <v>32</v>
      </c>
      <c r="AC61" s="277"/>
      <c r="AD61" s="261" t="s">
        <v>178</v>
      </c>
      <c r="AE61" s="261"/>
      <c r="AF61" s="261"/>
      <c r="AG61" s="261"/>
      <c r="AH61" s="261"/>
      <c r="AI61" s="261"/>
      <c r="AJ61" s="261"/>
      <c r="AK61" s="261"/>
      <c r="AL61" s="261"/>
      <c r="AM61" s="261"/>
      <c r="AN61" s="4"/>
      <c r="AO61" s="4"/>
      <c r="AP61" s="4"/>
      <c r="AQ61" s="4"/>
    </row>
    <row r="62" spans="1:43" ht="25.05" customHeight="1" x14ac:dyDescent="0.3">
      <c r="A62" s="306"/>
      <c r="B62" s="306"/>
      <c r="C62" s="306"/>
      <c r="D62" s="306"/>
      <c r="E62" s="306"/>
      <c r="F62" s="306"/>
      <c r="G62" s="306"/>
      <c r="H62" s="306"/>
      <c r="I62" s="306"/>
      <c r="J62" s="306"/>
      <c r="K62" s="306"/>
      <c r="L62" s="306"/>
      <c r="M62" s="306"/>
      <c r="N62" s="306"/>
      <c r="O62" s="306"/>
      <c r="P62" s="306"/>
      <c r="Q62" s="306"/>
      <c r="R62" s="306"/>
      <c r="S62" s="306"/>
      <c r="T62" s="306"/>
      <c r="U62" s="306"/>
      <c r="V62" s="306"/>
      <c r="W62" s="306"/>
      <c r="X62" s="306"/>
      <c r="Y62" s="306"/>
      <c r="Z62" s="306"/>
      <c r="AA62" s="306"/>
      <c r="AB62" s="306"/>
      <c r="AC62" s="306"/>
      <c r="AD62" s="306"/>
      <c r="AE62" s="306"/>
      <c r="AF62" s="306"/>
      <c r="AG62" s="306"/>
      <c r="AH62" s="306"/>
      <c r="AI62" s="306"/>
      <c r="AJ62" s="306"/>
      <c r="AK62" s="306"/>
      <c r="AL62" s="306"/>
      <c r="AM62" s="306"/>
      <c r="AN62" s="4"/>
      <c r="AO62" s="4"/>
      <c r="AP62" s="4"/>
      <c r="AQ62" s="4"/>
    </row>
    <row r="63" spans="1:43" ht="25.05" customHeight="1" x14ac:dyDescent="0.3">
      <c r="A63" s="315" t="s">
        <v>182</v>
      </c>
      <c r="B63" s="275" t="s">
        <v>219</v>
      </c>
      <c r="C63" s="275"/>
      <c r="D63" s="275"/>
      <c r="E63" s="275"/>
      <c r="F63" s="275"/>
      <c r="G63" s="275"/>
      <c r="H63" s="275"/>
      <c r="I63" s="275"/>
      <c r="J63" s="275"/>
      <c r="K63" s="275"/>
      <c r="L63" s="275"/>
      <c r="M63" s="275"/>
      <c r="N63" s="275"/>
      <c r="O63" s="275"/>
      <c r="P63" s="275"/>
      <c r="Q63" s="275"/>
      <c r="R63" s="275"/>
      <c r="S63" s="275"/>
      <c r="T63" s="275"/>
      <c r="U63" s="275"/>
      <c r="V63" s="275"/>
      <c r="W63" s="275"/>
      <c r="X63" s="275"/>
      <c r="Y63" s="275"/>
      <c r="Z63" s="275"/>
      <c r="AA63" s="275"/>
      <c r="AB63" s="275"/>
      <c r="AC63" s="275"/>
      <c r="AD63" s="275"/>
      <c r="AE63" s="275"/>
      <c r="AF63" s="275"/>
      <c r="AG63" s="275"/>
      <c r="AH63" s="275"/>
      <c r="AI63" s="275"/>
      <c r="AJ63" s="275"/>
      <c r="AK63" s="275"/>
      <c r="AL63" s="275"/>
      <c r="AM63" s="275"/>
      <c r="AN63" s="4"/>
      <c r="AO63" s="4"/>
      <c r="AP63" s="4"/>
      <c r="AQ63" s="4"/>
    </row>
    <row r="64" spans="1:43" ht="120" customHeight="1" x14ac:dyDescent="0.3">
      <c r="A64" s="315"/>
      <c r="B64" s="29" t="s">
        <v>183</v>
      </c>
      <c r="C64" s="43">
        <v>7079</v>
      </c>
      <c r="D64" s="17">
        <v>7079</v>
      </c>
      <c r="E64" s="290" t="s">
        <v>33</v>
      </c>
      <c r="F64" s="262" t="s">
        <v>199</v>
      </c>
      <c r="G64" s="302" t="s">
        <v>208</v>
      </c>
      <c r="H64" s="255" t="s">
        <v>72</v>
      </c>
      <c r="I64" s="255" t="s">
        <v>294</v>
      </c>
      <c r="J64" s="255" t="s">
        <v>546</v>
      </c>
      <c r="K64" s="255" t="s">
        <v>295</v>
      </c>
      <c r="L64" s="255"/>
      <c r="M64" s="255"/>
      <c r="N64" s="252">
        <v>1.6999999999999999E-3</v>
      </c>
      <c r="O64" s="21" t="s">
        <v>196</v>
      </c>
      <c r="P64" s="260" t="s">
        <v>200</v>
      </c>
      <c r="Q64" s="260"/>
      <c r="R64" s="252">
        <v>0</v>
      </c>
      <c r="S64" s="34" t="s">
        <v>1244</v>
      </c>
      <c r="T64" s="21">
        <v>0</v>
      </c>
      <c r="U64" s="28" t="s">
        <v>201</v>
      </c>
      <c r="V64" s="252" t="s">
        <v>33</v>
      </c>
      <c r="W64" s="8" t="s">
        <v>197</v>
      </c>
      <c r="X64" s="8" t="s">
        <v>198</v>
      </c>
      <c r="Y64" s="255" t="s">
        <v>198</v>
      </c>
      <c r="Z64" s="261" t="s">
        <v>195</v>
      </c>
      <c r="AA64" s="24" t="s">
        <v>137</v>
      </c>
      <c r="AB64" s="7" t="s">
        <v>32</v>
      </c>
      <c r="AC64" s="277" t="s">
        <v>32</v>
      </c>
      <c r="AD64" s="257" t="s">
        <v>1094</v>
      </c>
      <c r="AE64" s="257"/>
      <c r="AF64" s="257"/>
      <c r="AG64" s="257"/>
      <c r="AH64" s="257"/>
      <c r="AI64" s="257"/>
      <c r="AJ64" s="257"/>
      <c r="AK64" s="257"/>
      <c r="AL64" s="257"/>
      <c r="AM64" s="257"/>
      <c r="AN64" s="4"/>
      <c r="AO64" s="4"/>
      <c r="AP64" s="4"/>
      <c r="AQ64" s="4"/>
    </row>
    <row r="65" spans="1:43" ht="120" customHeight="1" x14ac:dyDescent="0.3">
      <c r="A65" s="315"/>
      <c r="B65" s="29" t="s">
        <v>184</v>
      </c>
      <c r="C65" s="43">
        <v>3540</v>
      </c>
      <c r="D65" s="17">
        <v>3540</v>
      </c>
      <c r="E65" s="290"/>
      <c r="F65" s="262"/>
      <c r="G65" s="302"/>
      <c r="H65" s="255"/>
      <c r="I65" s="255"/>
      <c r="J65" s="255"/>
      <c r="K65" s="255"/>
      <c r="L65" s="255"/>
      <c r="M65" s="255"/>
      <c r="N65" s="252"/>
      <c r="O65" s="21" t="s">
        <v>192</v>
      </c>
      <c r="P65" s="260"/>
      <c r="Q65" s="260"/>
      <c r="R65" s="252"/>
      <c r="S65" s="34" t="s">
        <v>1245</v>
      </c>
      <c r="T65" s="21">
        <v>1.18E-2</v>
      </c>
      <c r="U65" s="21" t="s">
        <v>202</v>
      </c>
      <c r="V65" s="252"/>
      <c r="W65" s="8" t="s">
        <v>193</v>
      </c>
      <c r="X65" s="8" t="s">
        <v>194</v>
      </c>
      <c r="Y65" s="255"/>
      <c r="Z65" s="261"/>
      <c r="AA65" s="24" t="s">
        <v>137</v>
      </c>
      <c r="AB65" s="7" t="s">
        <v>32</v>
      </c>
      <c r="AC65" s="277"/>
      <c r="AD65" s="257"/>
      <c r="AE65" s="257"/>
      <c r="AF65" s="257"/>
      <c r="AG65" s="257"/>
      <c r="AH65" s="257"/>
      <c r="AI65" s="257"/>
      <c r="AJ65" s="257"/>
      <c r="AK65" s="257"/>
      <c r="AL65" s="257"/>
      <c r="AM65" s="257"/>
      <c r="AN65" s="4"/>
      <c r="AO65" s="4"/>
      <c r="AP65" s="4"/>
      <c r="AQ65" s="4"/>
    </row>
    <row r="66" spans="1:43" ht="120" customHeight="1" x14ac:dyDescent="0.3">
      <c r="A66" s="315"/>
      <c r="B66" s="29" t="s">
        <v>189</v>
      </c>
      <c r="C66" s="259" t="s">
        <v>139</v>
      </c>
      <c r="D66" s="259"/>
      <c r="E66" s="290"/>
      <c r="F66" s="262"/>
      <c r="G66" s="282" t="s">
        <v>209</v>
      </c>
      <c r="H66" s="255"/>
      <c r="I66" s="255" t="s">
        <v>298</v>
      </c>
      <c r="J66" s="255" t="s">
        <v>547</v>
      </c>
      <c r="K66" s="255" t="s">
        <v>298</v>
      </c>
      <c r="L66" s="255"/>
      <c r="M66" s="255"/>
      <c r="N66" s="252"/>
      <c r="O66" s="21" t="s">
        <v>204</v>
      </c>
      <c r="P66" s="260" t="s">
        <v>211</v>
      </c>
      <c r="Q66" s="260"/>
      <c r="R66" s="252"/>
      <c r="S66" s="34" t="s">
        <v>1291</v>
      </c>
      <c r="T66" s="21">
        <v>1.77E-2</v>
      </c>
      <c r="U66" s="21">
        <v>-1.1000000000000001E-3</v>
      </c>
      <c r="V66" s="252"/>
      <c r="W66" s="8" t="s">
        <v>207</v>
      </c>
      <c r="X66" s="8" t="s">
        <v>194</v>
      </c>
      <c r="Y66" s="255"/>
      <c r="Z66" s="261"/>
      <c r="AA66" s="24" t="s">
        <v>177</v>
      </c>
      <c r="AB66" s="7" t="s">
        <v>32</v>
      </c>
      <c r="AC66" s="277"/>
      <c r="AD66" s="257" t="s">
        <v>1095</v>
      </c>
      <c r="AE66" s="257"/>
      <c r="AF66" s="257"/>
      <c r="AG66" s="257"/>
      <c r="AH66" s="257"/>
      <c r="AI66" s="257"/>
      <c r="AJ66" s="257"/>
      <c r="AK66" s="257"/>
      <c r="AL66" s="257"/>
      <c r="AM66" s="257"/>
      <c r="AN66" s="4"/>
      <c r="AO66" s="4"/>
      <c r="AP66" s="4"/>
      <c r="AQ66" s="4"/>
    </row>
    <row r="67" spans="1:43" ht="120" customHeight="1" x14ac:dyDescent="0.3">
      <c r="A67" s="315"/>
      <c r="B67" s="29" t="s">
        <v>188</v>
      </c>
      <c r="C67" s="259"/>
      <c r="D67" s="259"/>
      <c r="E67" s="290"/>
      <c r="F67" s="262"/>
      <c r="G67" s="282"/>
      <c r="H67" s="255"/>
      <c r="I67" s="255"/>
      <c r="J67" s="255"/>
      <c r="K67" s="255"/>
      <c r="L67" s="255"/>
      <c r="M67" s="255"/>
      <c r="N67" s="252"/>
      <c r="O67" s="21" t="s">
        <v>203</v>
      </c>
      <c r="P67" s="260"/>
      <c r="Q67" s="260"/>
      <c r="R67" s="252"/>
      <c r="S67" s="34" t="s">
        <v>1245</v>
      </c>
      <c r="T67" s="21">
        <v>2.3400000000000001E-2</v>
      </c>
      <c r="U67" s="21">
        <v>-6.7999999999999996E-3</v>
      </c>
      <c r="V67" s="252"/>
      <c r="W67" s="8" t="s">
        <v>205</v>
      </c>
      <c r="X67" s="8" t="s">
        <v>33</v>
      </c>
      <c r="Y67" s="255"/>
      <c r="Z67" s="261"/>
      <c r="AA67" s="24" t="s">
        <v>206</v>
      </c>
      <c r="AB67" s="7" t="s">
        <v>32</v>
      </c>
      <c r="AC67" s="277"/>
      <c r="AD67" s="257"/>
      <c r="AE67" s="257"/>
      <c r="AF67" s="257"/>
      <c r="AG67" s="257"/>
      <c r="AH67" s="257"/>
      <c r="AI67" s="257"/>
      <c r="AJ67" s="257"/>
      <c r="AK67" s="257"/>
      <c r="AL67" s="257"/>
      <c r="AM67" s="257"/>
      <c r="AN67" s="4"/>
      <c r="AO67" s="4"/>
      <c r="AP67" s="4"/>
      <c r="AQ67" s="4"/>
    </row>
    <row r="68" spans="1:43" ht="120" customHeight="1" x14ac:dyDescent="0.3">
      <c r="A68" s="315"/>
      <c r="B68" s="29" t="s">
        <v>187</v>
      </c>
      <c r="C68" s="259"/>
      <c r="D68" s="259"/>
      <c r="E68" s="290"/>
      <c r="F68" s="262"/>
      <c r="G68" s="282"/>
      <c r="H68" s="255"/>
      <c r="I68" s="255"/>
      <c r="J68" s="255"/>
      <c r="K68" s="255"/>
      <c r="L68" s="255"/>
      <c r="M68" s="255"/>
      <c r="N68" s="252"/>
      <c r="O68" s="252" t="s">
        <v>210</v>
      </c>
      <c r="P68" s="260"/>
      <c r="Q68" s="260"/>
      <c r="R68" s="252"/>
      <c r="S68" s="34" t="s">
        <v>1246</v>
      </c>
      <c r="T68" s="21">
        <v>4.1300000000000003E-2</v>
      </c>
      <c r="U68" s="21">
        <v>-2.47E-2</v>
      </c>
      <c r="V68" s="252"/>
      <c r="W68" s="255" t="s">
        <v>33</v>
      </c>
      <c r="X68" s="255"/>
      <c r="Y68" s="255"/>
      <c r="Z68" s="261"/>
      <c r="AA68" s="24" t="s">
        <v>206</v>
      </c>
      <c r="AB68" s="7" t="s">
        <v>32</v>
      </c>
      <c r="AC68" s="277"/>
      <c r="AD68" s="257" t="s">
        <v>69</v>
      </c>
      <c r="AE68" s="257"/>
      <c r="AF68" s="257"/>
      <c r="AG68" s="257"/>
      <c r="AH68" s="257"/>
      <c r="AI68" s="257"/>
      <c r="AJ68" s="257"/>
      <c r="AK68" s="257"/>
      <c r="AL68" s="257"/>
      <c r="AM68" s="257"/>
      <c r="AN68" s="4"/>
      <c r="AO68" s="4"/>
      <c r="AP68" s="4"/>
      <c r="AQ68" s="4"/>
    </row>
    <row r="69" spans="1:43" ht="120" customHeight="1" x14ac:dyDescent="0.3">
      <c r="A69" s="315"/>
      <c r="B69" s="24" t="s">
        <v>186</v>
      </c>
      <c r="C69" s="259"/>
      <c r="D69" s="259"/>
      <c r="E69" s="290"/>
      <c r="F69" s="262"/>
      <c r="G69" s="282"/>
      <c r="H69" s="255"/>
      <c r="I69" s="255"/>
      <c r="J69" s="255"/>
      <c r="K69" s="255"/>
      <c r="L69" s="255"/>
      <c r="M69" s="255"/>
      <c r="N69" s="252"/>
      <c r="O69" s="252"/>
      <c r="P69" s="260"/>
      <c r="Q69" s="260"/>
      <c r="R69" s="252"/>
      <c r="S69" s="21" t="s">
        <v>1247</v>
      </c>
      <c r="T69" s="21">
        <v>4.1300000000000003E-2</v>
      </c>
      <c r="U69" s="21">
        <v>-2.47E-2</v>
      </c>
      <c r="V69" s="252"/>
      <c r="W69" s="255"/>
      <c r="X69" s="255"/>
      <c r="Y69" s="255"/>
      <c r="Z69" s="261"/>
      <c r="AA69" s="24" t="s">
        <v>206</v>
      </c>
      <c r="AB69" s="7" t="s">
        <v>32</v>
      </c>
      <c r="AC69" s="277"/>
      <c r="AD69" s="257"/>
      <c r="AE69" s="257"/>
      <c r="AF69" s="257"/>
      <c r="AG69" s="257"/>
      <c r="AH69" s="257"/>
      <c r="AI69" s="257"/>
      <c r="AJ69" s="257"/>
      <c r="AK69" s="257"/>
      <c r="AL69" s="257"/>
      <c r="AM69" s="257"/>
      <c r="AN69" s="4"/>
      <c r="AO69" s="4"/>
      <c r="AP69" s="4"/>
      <c r="AQ69" s="4"/>
    </row>
    <row r="70" spans="1:43" ht="120" customHeight="1" x14ac:dyDescent="0.3">
      <c r="A70" s="315"/>
      <c r="B70" s="29" t="s">
        <v>185</v>
      </c>
      <c r="C70" s="259"/>
      <c r="D70" s="259"/>
      <c r="E70" s="290"/>
      <c r="F70" s="262"/>
      <c r="G70" s="6" t="s">
        <v>212</v>
      </c>
      <c r="H70" s="255"/>
      <c r="I70" s="279" t="s">
        <v>33</v>
      </c>
      <c r="J70" s="280"/>
      <c r="K70" s="280"/>
      <c r="L70" s="280"/>
      <c r="M70" s="280"/>
      <c r="N70" s="280"/>
      <c r="O70" s="280"/>
      <c r="P70" s="280"/>
      <c r="Q70" s="281"/>
      <c r="R70" s="252"/>
      <c r="S70" s="21" t="s">
        <v>1247</v>
      </c>
      <c r="T70" s="28">
        <v>0</v>
      </c>
      <c r="U70" s="21">
        <v>6.7000000000000002E-3</v>
      </c>
      <c r="V70" s="252"/>
      <c r="W70" s="255"/>
      <c r="X70" s="255"/>
      <c r="Y70" s="255"/>
      <c r="Z70" s="8" t="s">
        <v>33</v>
      </c>
      <c r="AA70" s="24" t="s">
        <v>81</v>
      </c>
      <c r="AB70" s="7" t="s">
        <v>32</v>
      </c>
      <c r="AC70" s="277"/>
      <c r="AD70" s="257" t="s">
        <v>299</v>
      </c>
      <c r="AE70" s="257"/>
      <c r="AF70" s="257"/>
      <c r="AG70" s="257"/>
      <c r="AH70" s="257"/>
      <c r="AI70" s="257"/>
      <c r="AJ70" s="257"/>
      <c r="AK70" s="257"/>
      <c r="AL70" s="257"/>
      <c r="AM70" s="257"/>
      <c r="AN70" s="4"/>
      <c r="AO70" s="4"/>
      <c r="AP70" s="4"/>
      <c r="AQ70" s="4"/>
    </row>
    <row r="71" spans="1:43" ht="120" customHeight="1" x14ac:dyDescent="0.3">
      <c r="A71" s="315"/>
      <c r="B71" s="29" t="s">
        <v>190</v>
      </c>
      <c r="C71" s="43">
        <v>590</v>
      </c>
      <c r="D71" s="17">
        <v>590</v>
      </c>
      <c r="E71" s="290"/>
      <c r="F71" s="262"/>
      <c r="G71" s="6" t="s">
        <v>215</v>
      </c>
      <c r="H71" s="255"/>
      <c r="I71" s="10" t="s">
        <v>301</v>
      </c>
      <c r="J71" s="41" t="s">
        <v>548</v>
      </c>
      <c r="K71" s="255" t="s">
        <v>302</v>
      </c>
      <c r="L71" s="255"/>
      <c r="M71" s="255"/>
      <c r="N71" s="255"/>
      <c r="O71" s="21" t="s">
        <v>210</v>
      </c>
      <c r="P71" s="21" t="s">
        <v>214</v>
      </c>
      <c r="Q71" s="21" t="s">
        <v>216</v>
      </c>
      <c r="R71" s="252"/>
      <c r="S71" s="34" t="s">
        <v>1246</v>
      </c>
      <c r="T71" s="21">
        <v>4.1300000000000003E-2</v>
      </c>
      <c r="U71" s="21">
        <v>-2.47E-2</v>
      </c>
      <c r="V71" s="252"/>
      <c r="W71" s="255" t="s">
        <v>33</v>
      </c>
      <c r="X71" s="255"/>
      <c r="Y71" s="8" t="s">
        <v>110</v>
      </c>
      <c r="Z71" s="261" t="s">
        <v>195</v>
      </c>
      <c r="AA71" s="24" t="s">
        <v>217</v>
      </c>
      <c r="AB71" s="7" t="s">
        <v>32</v>
      </c>
      <c r="AC71" s="277"/>
      <c r="AD71" s="257" t="s">
        <v>69</v>
      </c>
      <c r="AE71" s="257"/>
      <c r="AF71" s="257"/>
      <c r="AG71" s="257"/>
      <c r="AH71" s="257"/>
      <c r="AI71" s="257"/>
      <c r="AJ71" s="257"/>
      <c r="AK71" s="257"/>
      <c r="AL71" s="257"/>
      <c r="AM71" s="257"/>
      <c r="AN71" s="4"/>
      <c r="AO71" s="4"/>
      <c r="AP71" s="4"/>
      <c r="AQ71" s="4"/>
    </row>
    <row r="72" spans="1:43" ht="199.95" customHeight="1" x14ac:dyDescent="0.3">
      <c r="A72" s="315"/>
      <c r="B72" s="24" t="s">
        <v>191</v>
      </c>
      <c r="C72" s="16">
        <v>590</v>
      </c>
      <c r="D72" s="16">
        <v>590</v>
      </c>
      <c r="E72" s="16" t="s">
        <v>300</v>
      </c>
      <c r="F72" s="262"/>
      <c r="G72" s="6" t="s">
        <v>218</v>
      </c>
      <c r="H72" s="6" t="s">
        <v>1248</v>
      </c>
      <c r="I72" s="22">
        <v>3.3E-3</v>
      </c>
      <c r="J72" s="22">
        <v>3.3E-3</v>
      </c>
      <c r="K72" s="254">
        <v>3.3E-3</v>
      </c>
      <c r="L72" s="254"/>
      <c r="M72" s="254"/>
      <c r="N72" s="28">
        <v>0.05</v>
      </c>
      <c r="O72" s="21" t="s">
        <v>210</v>
      </c>
      <c r="P72" s="21" t="s">
        <v>33</v>
      </c>
      <c r="Q72" s="28">
        <v>0.05</v>
      </c>
      <c r="R72" s="28">
        <v>0.05</v>
      </c>
      <c r="S72" s="34" t="s">
        <v>1246</v>
      </c>
      <c r="T72" s="21">
        <v>4.1300000000000003E-2</v>
      </c>
      <c r="U72" s="21">
        <v>-3.7999999999999999E-2</v>
      </c>
      <c r="V72" s="21">
        <v>5.0000000000000001E-3</v>
      </c>
      <c r="W72" s="8" t="s">
        <v>91</v>
      </c>
      <c r="X72" s="255" t="s">
        <v>33</v>
      </c>
      <c r="Y72" s="255"/>
      <c r="Z72" s="261"/>
      <c r="AA72" s="32" t="s">
        <v>318</v>
      </c>
      <c r="AB72" s="7" t="s">
        <v>32</v>
      </c>
      <c r="AC72" s="277"/>
      <c r="AD72" s="257" t="s">
        <v>1096</v>
      </c>
      <c r="AE72" s="257"/>
      <c r="AF72" s="257"/>
      <c r="AG72" s="257"/>
      <c r="AH72" s="257"/>
      <c r="AI72" s="257"/>
      <c r="AJ72" s="257"/>
      <c r="AK72" s="257"/>
      <c r="AL72" s="257"/>
      <c r="AM72" s="257"/>
      <c r="AN72" s="4"/>
      <c r="AO72" s="4"/>
      <c r="AP72" s="4"/>
      <c r="AQ72" s="4"/>
    </row>
    <row r="73" spans="1:43" ht="25.05" customHeight="1" x14ac:dyDescent="0.3">
      <c r="A73" s="301"/>
      <c r="B73" s="301"/>
      <c r="C73" s="301"/>
      <c r="D73" s="301"/>
      <c r="E73" s="301"/>
      <c r="F73" s="301"/>
      <c r="G73" s="301"/>
      <c r="H73" s="301"/>
      <c r="I73" s="301"/>
      <c r="J73" s="301"/>
      <c r="K73" s="301"/>
      <c r="L73" s="301"/>
      <c r="M73" s="301"/>
      <c r="N73" s="301"/>
      <c r="O73" s="301"/>
      <c r="P73" s="301"/>
      <c r="Q73" s="301"/>
      <c r="R73" s="301"/>
      <c r="S73" s="301"/>
      <c r="T73" s="301"/>
      <c r="U73" s="301"/>
      <c r="V73" s="301"/>
      <c r="W73" s="301"/>
      <c r="X73" s="301"/>
      <c r="Y73" s="301"/>
      <c r="Z73" s="301"/>
      <c r="AA73" s="301"/>
      <c r="AB73" s="301"/>
      <c r="AC73" s="301"/>
      <c r="AD73" s="301"/>
      <c r="AE73" s="301"/>
      <c r="AF73" s="301"/>
      <c r="AG73" s="301"/>
      <c r="AH73" s="301"/>
      <c r="AI73" s="301"/>
      <c r="AJ73" s="301"/>
      <c r="AK73" s="301"/>
      <c r="AL73" s="301"/>
      <c r="AM73" s="301"/>
      <c r="AN73" s="4"/>
      <c r="AO73" s="4"/>
      <c r="AP73" s="4"/>
      <c r="AQ73" s="4"/>
    </row>
    <row r="74" spans="1:43" ht="25.05" customHeight="1" x14ac:dyDescent="0.3">
      <c r="A74" s="288" t="s">
        <v>220</v>
      </c>
      <c r="B74" s="275" t="s">
        <v>249</v>
      </c>
      <c r="C74" s="275"/>
      <c r="D74" s="275"/>
      <c r="E74" s="275"/>
      <c r="F74" s="275"/>
      <c r="G74" s="275"/>
      <c r="H74" s="275"/>
      <c r="I74" s="275"/>
      <c r="J74" s="275"/>
      <c r="K74" s="275"/>
      <c r="L74" s="275"/>
      <c r="M74" s="275"/>
      <c r="N74" s="275"/>
      <c r="O74" s="275"/>
      <c r="P74" s="275"/>
      <c r="Q74" s="275"/>
      <c r="R74" s="275"/>
      <c r="S74" s="275"/>
      <c r="T74" s="275"/>
      <c r="U74" s="275"/>
      <c r="V74" s="275"/>
      <c r="W74" s="275"/>
      <c r="X74" s="275"/>
      <c r="Y74" s="275"/>
      <c r="Z74" s="275"/>
      <c r="AA74" s="275"/>
      <c r="AB74" s="275"/>
      <c r="AC74" s="275"/>
      <c r="AD74" s="275"/>
      <c r="AE74" s="275"/>
      <c r="AF74" s="275"/>
      <c r="AG74" s="275"/>
      <c r="AH74" s="275"/>
      <c r="AI74" s="275"/>
      <c r="AJ74" s="275"/>
      <c r="AK74" s="275"/>
      <c r="AL74" s="275"/>
      <c r="AM74" s="275"/>
      <c r="AN74" s="4"/>
      <c r="AO74" s="4"/>
      <c r="AP74" s="4"/>
      <c r="AQ74" s="4"/>
    </row>
    <row r="75" spans="1:43" ht="109.95" customHeight="1" x14ac:dyDescent="0.3">
      <c r="A75" s="288"/>
      <c r="B75" s="24" t="s">
        <v>221</v>
      </c>
      <c r="C75" s="16">
        <v>2949</v>
      </c>
      <c r="D75" s="16">
        <v>2949</v>
      </c>
      <c r="E75" s="16" t="s">
        <v>303</v>
      </c>
      <c r="F75" s="8" t="s">
        <v>48</v>
      </c>
      <c r="G75" s="6" t="s">
        <v>310</v>
      </c>
      <c r="H75" s="6" t="s">
        <v>311</v>
      </c>
      <c r="I75" s="252">
        <v>3.7499999999999999E-2</v>
      </c>
      <c r="J75" s="252">
        <v>7.4999999999999997E-3</v>
      </c>
      <c r="K75" s="252">
        <v>3.7499999999999999E-2</v>
      </c>
      <c r="L75" s="252"/>
      <c r="M75" s="252">
        <v>7.4999999999999997E-3</v>
      </c>
      <c r="N75" s="252">
        <v>0</v>
      </c>
      <c r="O75" s="21" t="s">
        <v>239</v>
      </c>
      <c r="P75" s="252">
        <v>3.7499999999999999E-2</v>
      </c>
      <c r="Q75" s="252"/>
      <c r="R75" s="252">
        <v>0</v>
      </c>
      <c r="S75" s="34" t="s">
        <v>1236</v>
      </c>
      <c r="T75" s="252">
        <v>2.3599999999999999E-2</v>
      </c>
      <c r="U75" s="252">
        <v>-1.11E-2</v>
      </c>
      <c r="V75" s="252">
        <v>7.4999999999999997E-3</v>
      </c>
      <c r="W75" s="255" t="s">
        <v>87</v>
      </c>
      <c r="X75" s="255" t="s">
        <v>33</v>
      </c>
      <c r="Y75" s="255"/>
      <c r="Z75" s="261" t="s">
        <v>241</v>
      </c>
      <c r="AA75" s="32" t="s">
        <v>47</v>
      </c>
      <c r="AB75" s="7" t="s">
        <v>32</v>
      </c>
      <c r="AC75" s="277" t="s">
        <v>30</v>
      </c>
      <c r="AD75" s="293" t="s">
        <v>69</v>
      </c>
      <c r="AE75" s="293"/>
      <c r="AF75" s="293"/>
      <c r="AG75" s="293"/>
      <c r="AH75" s="293"/>
      <c r="AI75" s="293"/>
      <c r="AJ75" s="293"/>
      <c r="AK75" s="293"/>
      <c r="AL75" s="293"/>
      <c r="AM75" s="293"/>
      <c r="AN75" s="4"/>
      <c r="AO75" s="4"/>
      <c r="AP75" s="4"/>
      <c r="AQ75" s="4"/>
    </row>
    <row r="76" spans="1:43" ht="109.95" customHeight="1" x14ac:dyDescent="0.3">
      <c r="A76" s="288"/>
      <c r="B76" s="24" t="s">
        <v>240</v>
      </c>
      <c r="C76" s="16">
        <v>2949</v>
      </c>
      <c r="D76" s="16">
        <v>2949</v>
      </c>
      <c r="E76" s="16" t="s">
        <v>303</v>
      </c>
      <c r="F76" s="8" t="s">
        <v>245</v>
      </c>
      <c r="G76" s="6" t="s">
        <v>243</v>
      </c>
      <c r="H76" s="6" t="s">
        <v>244</v>
      </c>
      <c r="I76" s="252"/>
      <c r="J76" s="252"/>
      <c r="K76" s="252"/>
      <c r="L76" s="252"/>
      <c r="M76" s="252"/>
      <c r="N76" s="252"/>
      <c r="O76" s="21" t="s">
        <v>33</v>
      </c>
      <c r="P76" s="252"/>
      <c r="Q76" s="252"/>
      <c r="R76" s="252"/>
      <c r="S76" s="34" t="s">
        <v>1249</v>
      </c>
      <c r="T76" s="252"/>
      <c r="U76" s="252"/>
      <c r="V76" s="252"/>
      <c r="W76" s="255"/>
      <c r="X76" s="255"/>
      <c r="Y76" s="255"/>
      <c r="Z76" s="261"/>
      <c r="AA76" s="24" t="s">
        <v>242</v>
      </c>
      <c r="AB76" s="7" t="s">
        <v>32</v>
      </c>
      <c r="AC76" s="277"/>
      <c r="AD76" s="257" t="s">
        <v>247</v>
      </c>
      <c r="AE76" s="257"/>
      <c r="AF76" s="257"/>
      <c r="AG76" s="257"/>
      <c r="AH76" s="257"/>
      <c r="AI76" s="257"/>
      <c r="AJ76" s="257"/>
      <c r="AK76" s="257"/>
      <c r="AL76" s="257"/>
      <c r="AM76" s="257"/>
      <c r="AN76" s="4"/>
      <c r="AO76" s="4"/>
      <c r="AP76" s="4"/>
      <c r="AQ76" s="4"/>
    </row>
    <row r="77" spans="1:43" ht="109.95" customHeight="1" x14ac:dyDescent="0.3">
      <c r="A77" s="288"/>
      <c r="B77" s="24" t="s">
        <v>222</v>
      </c>
      <c r="C77" s="16" t="s">
        <v>305</v>
      </c>
      <c r="D77" s="16" t="s">
        <v>306</v>
      </c>
      <c r="E77" s="16" t="s">
        <v>304</v>
      </c>
      <c r="F77" s="8" t="s">
        <v>48</v>
      </c>
      <c r="G77" s="6" t="s">
        <v>229</v>
      </c>
      <c r="H77" s="6" t="s">
        <v>230</v>
      </c>
      <c r="I77" s="21">
        <v>2.5000000000000001E-2</v>
      </c>
      <c r="J77" s="21">
        <v>5.0000000000000001E-3</v>
      </c>
      <c r="K77" s="252">
        <v>5.0000000000000001E-3</v>
      </c>
      <c r="L77" s="252"/>
      <c r="M77" s="252"/>
      <c r="N77" s="252"/>
      <c r="O77" s="21">
        <v>0</v>
      </c>
      <c r="P77" s="21">
        <v>2.5000000000000001E-2</v>
      </c>
      <c r="Q77" s="21">
        <v>1.2500000000000001E-2</v>
      </c>
      <c r="R77" s="252"/>
      <c r="S77" s="34" t="s">
        <v>1236</v>
      </c>
      <c r="T77" s="252">
        <v>4.1300000000000003E-2</v>
      </c>
      <c r="U77" s="21">
        <v>-1.6299999999999999E-2</v>
      </c>
      <c r="V77" s="21">
        <v>2.5000000000000001E-3</v>
      </c>
      <c r="W77" s="8" t="s">
        <v>227</v>
      </c>
      <c r="X77" s="255"/>
      <c r="Y77" s="255"/>
      <c r="Z77" s="261"/>
      <c r="AA77" s="24" t="s">
        <v>228</v>
      </c>
      <c r="AB77" s="30" t="s">
        <v>32</v>
      </c>
      <c r="AC77" s="277"/>
      <c r="AD77" s="257" t="s">
        <v>248</v>
      </c>
      <c r="AE77" s="257"/>
      <c r="AF77" s="257"/>
      <c r="AG77" s="257"/>
      <c r="AH77" s="257"/>
      <c r="AI77" s="257"/>
      <c r="AJ77" s="257"/>
      <c r="AK77" s="257"/>
      <c r="AL77" s="257"/>
      <c r="AM77" s="257"/>
      <c r="AN77" s="4"/>
      <c r="AO77" s="4"/>
      <c r="AP77" s="4"/>
      <c r="AQ77" s="4"/>
    </row>
    <row r="78" spans="1:43" ht="109.95" customHeight="1" x14ac:dyDescent="0.3">
      <c r="A78" s="288"/>
      <c r="B78" s="24" t="s">
        <v>223</v>
      </c>
      <c r="C78" s="16" t="s">
        <v>307</v>
      </c>
      <c r="D78" s="16" t="s">
        <v>307</v>
      </c>
      <c r="E78" s="16">
        <v>70000</v>
      </c>
      <c r="F78" s="8" t="s">
        <v>48</v>
      </c>
      <c r="G78" s="6" t="s">
        <v>232</v>
      </c>
      <c r="H78" s="6" t="s">
        <v>231</v>
      </c>
      <c r="I78" s="21">
        <v>2E-3</v>
      </c>
      <c r="J78" s="21">
        <v>2E-3</v>
      </c>
      <c r="K78" s="252">
        <v>0.01</v>
      </c>
      <c r="L78" s="255"/>
      <c r="M78" s="21">
        <v>2E-3</v>
      </c>
      <c r="N78" s="252"/>
      <c r="O78" s="21">
        <v>0</v>
      </c>
      <c r="P78" s="21">
        <v>1.2500000000000001E-2</v>
      </c>
      <c r="Q78" s="21">
        <v>0</v>
      </c>
      <c r="R78" s="252"/>
      <c r="S78" s="34" t="s">
        <v>1249</v>
      </c>
      <c r="T78" s="252"/>
      <c r="U78" s="21">
        <v>-3.6299999999999999E-2</v>
      </c>
      <c r="V78" s="21">
        <v>5.0000000000000001E-3</v>
      </c>
      <c r="W78" s="255" t="s">
        <v>33</v>
      </c>
      <c r="X78" s="255"/>
      <c r="Y78" s="255"/>
      <c r="Z78" s="255"/>
      <c r="AA78" s="24" t="s">
        <v>228</v>
      </c>
      <c r="AB78" s="7" t="s">
        <v>32</v>
      </c>
      <c r="AC78" s="277"/>
      <c r="AD78" s="257"/>
      <c r="AE78" s="257"/>
      <c r="AF78" s="257"/>
      <c r="AG78" s="257"/>
      <c r="AH78" s="257"/>
      <c r="AI78" s="257"/>
      <c r="AJ78" s="257"/>
      <c r="AK78" s="257"/>
      <c r="AL78" s="257"/>
      <c r="AM78" s="257"/>
      <c r="AN78" s="4"/>
      <c r="AO78" s="4"/>
      <c r="AP78" s="4"/>
      <c r="AQ78" s="4"/>
    </row>
    <row r="79" spans="1:43" ht="109.95" customHeight="1" x14ac:dyDescent="0.3">
      <c r="A79" s="288"/>
      <c r="B79" s="24" t="s">
        <v>225</v>
      </c>
      <c r="C79" s="16" t="s">
        <v>308</v>
      </c>
      <c r="D79" s="16" t="s">
        <v>309</v>
      </c>
      <c r="E79" s="16" t="s">
        <v>33</v>
      </c>
      <c r="F79" s="8" t="s">
        <v>48</v>
      </c>
      <c r="G79" s="6" t="s">
        <v>234</v>
      </c>
      <c r="H79" s="6" t="s">
        <v>230</v>
      </c>
      <c r="I79" s="21">
        <v>0.01</v>
      </c>
      <c r="J79" s="21">
        <v>0.01</v>
      </c>
      <c r="K79" s="21">
        <v>2.5000000000000001E-2</v>
      </c>
      <c r="L79" s="252">
        <v>0.01</v>
      </c>
      <c r="M79" s="252"/>
      <c r="N79" s="252"/>
      <c r="O79" s="23">
        <v>0.01</v>
      </c>
      <c r="P79" s="252">
        <v>2.5000000000000001E-2</v>
      </c>
      <c r="Q79" s="252"/>
      <c r="R79" s="252"/>
      <c r="S79" s="34" t="s">
        <v>1236</v>
      </c>
      <c r="T79" s="252"/>
      <c r="U79" s="21">
        <v>-3.6299999999999999E-2</v>
      </c>
      <c r="V79" s="28">
        <v>0.01</v>
      </c>
      <c r="W79" s="255"/>
      <c r="X79" s="255"/>
      <c r="Y79" s="255"/>
      <c r="Z79" s="255"/>
      <c r="AA79" s="32" t="s">
        <v>5</v>
      </c>
      <c r="AB79" s="7" t="s">
        <v>32</v>
      </c>
      <c r="AC79" s="277"/>
      <c r="AD79" s="257" t="s">
        <v>1161</v>
      </c>
      <c r="AE79" s="257"/>
      <c r="AF79" s="257"/>
      <c r="AG79" s="257"/>
      <c r="AH79" s="257"/>
      <c r="AI79" s="257"/>
      <c r="AJ79" s="257"/>
      <c r="AK79" s="257"/>
      <c r="AL79" s="257"/>
      <c r="AM79" s="257"/>
      <c r="AN79" s="4"/>
      <c r="AO79" s="4"/>
      <c r="AP79" s="4"/>
      <c r="AQ79" s="4"/>
    </row>
    <row r="80" spans="1:43" ht="109.95" customHeight="1" x14ac:dyDescent="0.3">
      <c r="A80" s="288"/>
      <c r="B80" s="24" t="s">
        <v>224</v>
      </c>
      <c r="C80" s="16" t="s">
        <v>316</v>
      </c>
      <c r="D80" s="16" t="s">
        <v>316</v>
      </c>
      <c r="E80" s="16" t="s">
        <v>33</v>
      </c>
      <c r="F80" s="8" t="s">
        <v>48</v>
      </c>
      <c r="G80" s="6" t="s">
        <v>235</v>
      </c>
      <c r="H80" s="8" t="s">
        <v>236</v>
      </c>
      <c r="I80" s="21">
        <v>3.3E-3</v>
      </c>
      <c r="J80" s="21">
        <v>3.3E-3</v>
      </c>
      <c r="K80" s="252">
        <v>3.3E-3</v>
      </c>
      <c r="L80" s="252"/>
      <c r="M80" s="252"/>
      <c r="N80" s="252"/>
      <c r="O80" s="21">
        <v>3.3E-3</v>
      </c>
      <c r="P80" s="21">
        <v>3.3E-3</v>
      </c>
      <c r="Q80" s="21">
        <v>1.67E-2</v>
      </c>
      <c r="R80" s="28" t="s">
        <v>238</v>
      </c>
      <c r="S80" s="34" t="s">
        <v>1250</v>
      </c>
      <c r="T80" s="252"/>
      <c r="U80" s="21">
        <v>-3.7999999999999999E-2</v>
      </c>
      <c r="V80" s="21" t="s">
        <v>237</v>
      </c>
      <c r="W80" s="8" t="s">
        <v>227</v>
      </c>
      <c r="X80" s="255" t="s">
        <v>33</v>
      </c>
      <c r="Y80" s="255"/>
      <c r="Z80" s="10" t="s">
        <v>246</v>
      </c>
      <c r="AA80" s="24" t="s">
        <v>317</v>
      </c>
      <c r="AB80" s="7" t="s">
        <v>32</v>
      </c>
      <c r="AC80" s="277"/>
      <c r="AD80" s="257" t="s">
        <v>1097</v>
      </c>
      <c r="AE80" s="257"/>
      <c r="AF80" s="257"/>
      <c r="AG80" s="257"/>
      <c r="AH80" s="257"/>
      <c r="AI80" s="257"/>
      <c r="AJ80" s="257"/>
      <c r="AK80" s="257"/>
      <c r="AL80" s="257"/>
      <c r="AM80" s="257"/>
      <c r="AN80" s="4"/>
      <c r="AO80" s="4"/>
      <c r="AP80" s="4"/>
      <c r="AQ80" s="4"/>
    </row>
    <row r="81" spans="1:43" ht="109.95" customHeight="1" x14ac:dyDescent="0.3">
      <c r="A81" s="288"/>
      <c r="B81" s="24" t="s">
        <v>226</v>
      </c>
      <c r="C81" s="16" t="s">
        <v>316</v>
      </c>
      <c r="D81" s="16" t="s">
        <v>316</v>
      </c>
      <c r="E81" s="16">
        <v>35000</v>
      </c>
      <c r="F81" s="8" t="s">
        <v>48</v>
      </c>
      <c r="G81" s="6" t="s">
        <v>1066</v>
      </c>
      <c r="H81" s="6" t="s">
        <v>231</v>
      </c>
      <c r="I81" s="252" t="s">
        <v>233</v>
      </c>
      <c r="J81" s="252"/>
      <c r="K81" s="252"/>
      <c r="L81" s="252"/>
      <c r="M81" s="252"/>
      <c r="N81" s="252"/>
      <c r="O81" s="21">
        <v>1.2500000000000001E-2</v>
      </c>
      <c r="P81" s="21">
        <v>0</v>
      </c>
      <c r="Q81" s="21">
        <v>1.2500000000000001E-2</v>
      </c>
      <c r="R81" s="21">
        <v>0</v>
      </c>
      <c r="S81" s="34" t="s">
        <v>1250</v>
      </c>
      <c r="T81" s="252"/>
      <c r="U81" s="21">
        <v>-3.6299999999999999E-2</v>
      </c>
      <c r="V81" s="21">
        <v>2E-3</v>
      </c>
      <c r="W81" s="255" t="s">
        <v>33</v>
      </c>
      <c r="X81" s="255"/>
      <c r="Y81" s="255"/>
      <c r="Z81" s="255"/>
      <c r="AA81" s="24" t="s">
        <v>228</v>
      </c>
      <c r="AB81" s="7" t="s">
        <v>32</v>
      </c>
      <c r="AC81" s="277"/>
      <c r="AD81" s="257" t="s">
        <v>69</v>
      </c>
      <c r="AE81" s="257"/>
      <c r="AF81" s="257"/>
      <c r="AG81" s="257"/>
      <c r="AH81" s="257"/>
      <c r="AI81" s="257"/>
      <c r="AJ81" s="257"/>
      <c r="AK81" s="257"/>
      <c r="AL81" s="257"/>
      <c r="AM81" s="257"/>
      <c r="AN81" s="4"/>
      <c r="AO81" s="4"/>
      <c r="AP81" s="4"/>
      <c r="AQ81" s="4"/>
    </row>
    <row r="82" spans="1:43" ht="25.05" customHeight="1" x14ac:dyDescent="0.3">
      <c r="A82" s="288"/>
      <c r="B82" s="288"/>
      <c r="C82" s="288"/>
      <c r="D82" s="288"/>
      <c r="E82" s="288"/>
      <c r="F82" s="288"/>
      <c r="G82" s="288"/>
      <c r="H82" s="288"/>
      <c r="I82" s="288"/>
      <c r="J82" s="288"/>
      <c r="K82" s="288"/>
      <c r="L82" s="288"/>
      <c r="M82" s="288"/>
      <c r="N82" s="288"/>
      <c r="O82" s="288"/>
      <c r="P82" s="288"/>
      <c r="Q82" s="288"/>
      <c r="R82" s="288"/>
      <c r="S82" s="288"/>
      <c r="T82" s="288"/>
      <c r="U82" s="288"/>
      <c r="V82" s="288"/>
      <c r="W82" s="288"/>
      <c r="X82" s="288"/>
      <c r="Y82" s="288"/>
      <c r="Z82" s="288"/>
      <c r="AA82" s="288"/>
      <c r="AB82" s="288"/>
      <c r="AC82" s="288"/>
      <c r="AD82" s="288"/>
      <c r="AE82" s="288"/>
      <c r="AF82" s="288"/>
      <c r="AG82" s="288"/>
      <c r="AH82" s="288"/>
      <c r="AI82" s="288"/>
      <c r="AJ82" s="288"/>
      <c r="AK82" s="288"/>
      <c r="AL82" s="288"/>
      <c r="AM82" s="288"/>
      <c r="AN82" s="4"/>
      <c r="AO82" s="4"/>
      <c r="AP82" s="4"/>
      <c r="AQ82" s="4"/>
    </row>
    <row r="83" spans="1:43" ht="25.05" customHeight="1" x14ac:dyDescent="0.3">
      <c r="A83" s="285" t="s">
        <v>254</v>
      </c>
      <c r="B83" s="275" t="s">
        <v>350</v>
      </c>
      <c r="C83" s="275"/>
      <c r="D83" s="275"/>
      <c r="E83" s="275"/>
      <c r="F83" s="275"/>
      <c r="G83" s="275"/>
      <c r="H83" s="275"/>
      <c r="I83" s="275"/>
      <c r="J83" s="275"/>
      <c r="K83" s="275"/>
      <c r="L83" s="275"/>
      <c r="M83" s="275"/>
      <c r="N83" s="275"/>
      <c r="O83" s="275"/>
      <c r="P83" s="275"/>
      <c r="Q83" s="275"/>
      <c r="R83" s="275"/>
      <c r="S83" s="275"/>
      <c r="T83" s="275"/>
      <c r="U83" s="275"/>
      <c r="V83" s="275"/>
      <c r="W83" s="275"/>
      <c r="X83" s="275"/>
      <c r="Y83" s="275"/>
      <c r="Z83" s="275"/>
      <c r="AA83" s="275"/>
      <c r="AB83" s="275"/>
      <c r="AC83" s="275"/>
      <c r="AD83" s="275"/>
      <c r="AE83" s="275"/>
      <c r="AF83" s="275"/>
      <c r="AG83" s="275"/>
      <c r="AH83" s="275"/>
      <c r="AI83" s="275"/>
      <c r="AJ83" s="275"/>
      <c r="AK83" s="275"/>
      <c r="AL83" s="275"/>
      <c r="AM83" s="275"/>
      <c r="AN83" s="4"/>
      <c r="AO83" s="4"/>
      <c r="AP83" s="4"/>
      <c r="AQ83" s="4"/>
    </row>
    <row r="84" spans="1:43" ht="100.05" customHeight="1" x14ac:dyDescent="0.3">
      <c r="A84" s="285"/>
      <c r="B84" s="29" t="s">
        <v>250</v>
      </c>
      <c r="C84" s="43">
        <v>5899</v>
      </c>
      <c r="D84" s="17">
        <v>5899</v>
      </c>
      <c r="E84" s="17" t="s">
        <v>319</v>
      </c>
      <c r="F84" s="26" t="s">
        <v>71</v>
      </c>
      <c r="G84" s="6" t="s">
        <v>324</v>
      </c>
      <c r="H84" s="6" t="s">
        <v>325</v>
      </c>
      <c r="I84" s="255" t="s">
        <v>326</v>
      </c>
      <c r="J84" s="255"/>
      <c r="K84" s="255"/>
      <c r="L84" s="255"/>
      <c r="M84" s="255"/>
      <c r="N84" s="21">
        <v>0</v>
      </c>
      <c r="O84" s="21" t="s">
        <v>322</v>
      </c>
      <c r="P84" s="21" t="s">
        <v>323</v>
      </c>
      <c r="Q84" s="21">
        <v>0.04</v>
      </c>
      <c r="R84" s="21">
        <v>0</v>
      </c>
      <c r="S84" s="34" t="s">
        <v>1236</v>
      </c>
      <c r="T84" s="21">
        <v>4.1300000000000003E-2</v>
      </c>
      <c r="U84" s="21">
        <v>-1.2999999999999999E-3</v>
      </c>
      <c r="V84" s="252" t="s">
        <v>33</v>
      </c>
      <c r="W84" s="8" t="s">
        <v>320</v>
      </c>
      <c r="X84" s="8" t="s">
        <v>321</v>
      </c>
      <c r="Y84" s="255" t="s">
        <v>33</v>
      </c>
      <c r="Z84" s="286" t="s">
        <v>75</v>
      </c>
      <c r="AA84" s="24" t="s">
        <v>4</v>
      </c>
      <c r="AB84" s="7" t="s">
        <v>32</v>
      </c>
      <c r="AC84" s="276" t="s">
        <v>33</v>
      </c>
      <c r="AD84" s="257" t="s">
        <v>1098</v>
      </c>
      <c r="AE84" s="257"/>
      <c r="AF84" s="257"/>
      <c r="AG84" s="257"/>
      <c r="AH84" s="257"/>
      <c r="AI84" s="257"/>
      <c r="AJ84" s="257"/>
      <c r="AK84" s="257"/>
      <c r="AL84" s="257"/>
      <c r="AM84" s="257"/>
      <c r="AN84" s="4"/>
      <c r="AO84" s="4"/>
      <c r="AP84" s="4"/>
      <c r="AQ84" s="4"/>
    </row>
    <row r="85" spans="1:43" ht="100.05" customHeight="1" x14ac:dyDescent="0.3">
      <c r="A85" s="285"/>
      <c r="B85" s="24" t="s">
        <v>251</v>
      </c>
      <c r="C85" s="16">
        <v>14160</v>
      </c>
      <c r="D85" s="16" t="s">
        <v>549</v>
      </c>
      <c r="E85" s="16" t="s">
        <v>33</v>
      </c>
      <c r="F85" s="8" t="s">
        <v>48</v>
      </c>
      <c r="G85" s="6" t="s">
        <v>330</v>
      </c>
      <c r="H85" s="8" t="s">
        <v>331</v>
      </c>
      <c r="I85" s="22" t="s">
        <v>116</v>
      </c>
      <c r="J85" s="21">
        <v>0.01</v>
      </c>
      <c r="K85" s="35" t="s">
        <v>355</v>
      </c>
      <c r="L85" s="35"/>
      <c r="M85" s="35"/>
      <c r="N85" s="21"/>
      <c r="O85" s="28" t="s">
        <v>327</v>
      </c>
      <c r="P85" s="21" t="s">
        <v>329</v>
      </c>
      <c r="Q85" s="21" t="s">
        <v>332</v>
      </c>
      <c r="R85" s="21">
        <v>0</v>
      </c>
      <c r="S85" s="34" t="s">
        <v>1238</v>
      </c>
      <c r="T85" s="21">
        <v>1.17E-2</v>
      </c>
      <c r="U85" s="21">
        <v>-1.1299999999999999E-2</v>
      </c>
      <c r="V85" s="252"/>
      <c r="W85" s="8" t="s">
        <v>87</v>
      </c>
      <c r="X85" s="20" t="s">
        <v>328</v>
      </c>
      <c r="Y85" s="255"/>
      <c r="Z85" s="286"/>
      <c r="AA85" s="32" t="s">
        <v>333</v>
      </c>
      <c r="AB85" s="7" t="s">
        <v>32</v>
      </c>
      <c r="AC85" s="277"/>
      <c r="AD85" s="257" t="s">
        <v>1099</v>
      </c>
      <c r="AE85" s="257"/>
      <c r="AF85" s="257"/>
      <c r="AG85" s="257"/>
      <c r="AH85" s="257"/>
      <c r="AI85" s="257"/>
      <c r="AJ85" s="257"/>
      <c r="AK85" s="257"/>
      <c r="AL85" s="257"/>
      <c r="AM85" s="257"/>
      <c r="AN85" s="4"/>
      <c r="AO85" s="4"/>
      <c r="AP85" s="4"/>
      <c r="AQ85" s="4"/>
    </row>
    <row r="86" spans="1:43" ht="100.05" customHeight="1" x14ac:dyDescent="0.3">
      <c r="A86" s="285"/>
      <c r="B86" s="24" t="s">
        <v>253</v>
      </c>
      <c r="C86" s="16">
        <v>1179</v>
      </c>
      <c r="D86" s="16">
        <v>1179</v>
      </c>
      <c r="E86" s="17" t="s">
        <v>313</v>
      </c>
      <c r="F86" s="8" t="s">
        <v>1</v>
      </c>
      <c r="G86" s="36" t="s">
        <v>344</v>
      </c>
      <c r="H86" s="6" t="s">
        <v>343</v>
      </c>
      <c r="I86" s="21">
        <v>1.4999999999999999E-2</v>
      </c>
      <c r="J86" s="28">
        <v>1.4999999999999999E-2</v>
      </c>
      <c r="K86" s="252">
        <v>1.4999999999999999E-2</v>
      </c>
      <c r="L86" s="252"/>
      <c r="M86" s="252"/>
      <c r="N86" s="252"/>
      <c r="O86" s="21" t="s">
        <v>33</v>
      </c>
      <c r="P86" s="287" t="s">
        <v>342</v>
      </c>
      <c r="Q86" s="287"/>
      <c r="R86" s="287"/>
      <c r="S86" s="34" t="s">
        <v>1238</v>
      </c>
      <c r="T86" s="21">
        <v>4.1300000000000003E-2</v>
      </c>
      <c r="U86" s="21">
        <v>-2.63E-2</v>
      </c>
      <c r="V86" s="252"/>
      <c r="W86" s="8" t="s">
        <v>91</v>
      </c>
      <c r="X86" s="8" t="s">
        <v>33</v>
      </c>
      <c r="Y86" s="255"/>
      <c r="Z86" s="286"/>
      <c r="AA86" s="32" t="s">
        <v>334</v>
      </c>
      <c r="AB86" s="7" t="s">
        <v>32</v>
      </c>
      <c r="AC86" s="277"/>
      <c r="AD86" s="257" t="s">
        <v>1100</v>
      </c>
      <c r="AE86" s="257"/>
      <c r="AF86" s="257"/>
      <c r="AG86" s="257"/>
      <c r="AH86" s="257"/>
      <c r="AI86" s="257"/>
      <c r="AJ86" s="257"/>
      <c r="AK86" s="257"/>
      <c r="AL86" s="257"/>
      <c r="AM86" s="257"/>
      <c r="AN86" s="4"/>
      <c r="AO86" s="4"/>
      <c r="AP86" s="4"/>
      <c r="AQ86" s="4"/>
    </row>
    <row r="87" spans="1:43" ht="100.05" customHeight="1" x14ac:dyDescent="0.3">
      <c r="A87" s="285"/>
      <c r="B87" s="24" t="s">
        <v>252</v>
      </c>
      <c r="C87" s="283" t="s">
        <v>139</v>
      </c>
      <c r="D87" s="283"/>
      <c r="E87" s="16" t="s">
        <v>33</v>
      </c>
      <c r="F87" s="8" t="s">
        <v>48</v>
      </c>
      <c r="G87" s="6" t="s">
        <v>337</v>
      </c>
      <c r="H87" s="6" t="s">
        <v>336</v>
      </c>
      <c r="I87" s="21" t="s">
        <v>338</v>
      </c>
      <c r="J87" s="21" t="s">
        <v>339</v>
      </c>
      <c r="K87" s="232" t="s">
        <v>340</v>
      </c>
      <c r="L87" s="232"/>
      <c r="M87" s="232"/>
      <c r="N87" s="8"/>
      <c r="O87" s="28" t="s">
        <v>335</v>
      </c>
      <c r="P87" s="252" t="s">
        <v>340</v>
      </c>
      <c r="Q87" s="252"/>
      <c r="R87" s="21">
        <v>0</v>
      </c>
      <c r="S87" s="34" t="s">
        <v>1236</v>
      </c>
      <c r="T87" s="21">
        <v>4.1300000000000003E-2</v>
      </c>
      <c r="U87" s="21">
        <v>-3.6600000000000001E-2</v>
      </c>
      <c r="V87" s="252"/>
      <c r="W87" s="255" t="s">
        <v>33</v>
      </c>
      <c r="X87" s="255"/>
      <c r="Y87" s="255"/>
      <c r="Z87" s="8" t="s">
        <v>33</v>
      </c>
      <c r="AA87" s="24" t="s">
        <v>228</v>
      </c>
      <c r="AB87" s="30" t="s">
        <v>32</v>
      </c>
      <c r="AC87" s="277"/>
      <c r="AD87" s="258" t="s">
        <v>341</v>
      </c>
      <c r="AE87" s="258"/>
      <c r="AF87" s="258"/>
      <c r="AG87" s="258"/>
      <c r="AH87" s="258"/>
      <c r="AI87" s="258"/>
      <c r="AJ87" s="258"/>
      <c r="AK87" s="258"/>
      <c r="AL87" s="258"/>
      <c r="AM87" s="258"/>
      <c r="AN87" s="4"/>
      <c r="AO87" s="4"/>
      <c r="AP87" s="4"/>
      <c r="AQ87" s="4"/>
    </row>
    <row r="88" spans="1:43" ht="25.05" customHeight="1" x14ac:dyDescent="0.3">
      <c r="A88" s="284"/>
      <c r="B88" s="284"/>
      <c r="C88" s="284"/>
      <c r="D88" s="284"/>
      <c r="E88" s="284"/>
      <c r="F88" s="284"/>
      <c r="G88" s="284"/>
      <c r="H88" s="284"/>
      <c r="I88" s="284"/>
      <c r="J88" s="284"/>
      <c r="K88" s="284"/>
      <c r="L88" s="284"/>
      <c r="M88" s="284"/>
      <c r="N88" s="284"/>
      <c r="O88" s="284"/>
      <c r="P88" s="284"/>
      <c r="Q88" s="284"/>
      <c r="R88" s="284"/>
      <c r="S88" s="284"/>
      <c r="T88" s="284"/>
      <c r="U88" s="284"/>
      <c r="V88" s="284"/>
      <c r="W88" s="284"/>
      <c r="X88" s="284"/>
      <c r="Y88" s="284"/>
      <c r="Z88" s="284"/>
      <c r="AA88" s="284"/>
      <c r="AB88" s="284"/>
      <c r="AC88" s="284"/>
      <c r="AD88" s="284"/>
      <c r="AE88" s="284"/>
      <c r="AF88" s="284"/>
      <c r="AG88" s="284"/>
      <c r="AH88" s="284"/>
      <c r="AI88" s="284"/>
      <c r="AJ88" s="284"/>
      <c r="AK88" s="284"/>
      <c r="AL88" s="284"/>
      <c r="AM88" s="284"/>
      <c r="AN88" s="4"/>
      <c r="AO88" s="4"/>
      <c r="AP88" s="4"/>
      <c r="AQ88" s="4"/>
    </row>
    <row r="89" spans="1:43" ht="25.05" customHeight="1" x14ac:dyDescent="0.3">
      <c r="A89" s="274" t="s">
        <v>345</v>
      </c>
      <c r="B89" s="275" t="s">
        <v>380</v>
      </c>
      <c r="C89" s="275"/>
      <c r="D89" s="275"/>
      <c r="E89" s="275"/>
      <c r="F89" s="275"/>
      <c r="G89" s="275"/>
      <c r="H89" s="275"/>
      <c r="I89" s="275"/>
      <c r="J89" s="275"/>
      <c r="K89" s="275"/>
      <c r="L89" s="275"/>
      <c r="M89" s="275"/>
      <c r="N89" s="275"/>
      <c r="O89" s="275"/>
      <c r="P89" s="275"/>
      <c r="Q89" s="275"/>
      <c r="R89" s="275"/>
      <c r="S89" s="275"/>
      <c r="T89" s="275"/>
      <c r="U89" s="275"/>
      <c r="V89" s="275"/>
      <c r="W89" s="275"/>
      <c r="X89" s="275"/>
      <c r="Y89" s="275"/>
      <c r="Z89" s="275"/>
      <c r="AA89" s="275"/>
      <c r="AB89" s="275"/>
      <c r="AC89" s="275"/>
      <c r="AD89" s="275"/>
      <c r="AE89" s="275"/>
      <c r="AF89" s="275"/>
      <c r="AG89" s="275"/>
      <c r="AH89" s="275"/>
      <c r="AI89" s="275"/>
      <c r="AJ89" s="275"/>
      <c r="AK89" s="275"/>
      <c r="AL89" s="275"/>
      <c r="AM89" s="275"/>
      <c r="AN89" s="4"/>
      <c r="AO89" s="4"/>
      <c r="AP89" s="4"/>
      <c r="AQ89" s="4"/>
    </row>
    <row r="90" spans="1:43" ht="109.95" customHeight="1" x14ac:dyDescent="0.3">
      <c r="A90" s="274"/>
      <c r="B90" s="29" t="s">
        <v>346</v>
      </c>
      <c r="C90" s="43">
        <v>5900</v>
      </c>
      <c r="D90" s="17">
        <v>5900</v>
      </c>
      <c r="E90" s="17" t="s">
        <v>33</v>
      </c>
      <c r="F90" s="26" t="s">
        <v>48</v>
      </c>
      <c r="G90" s="6" t="s">
        <v>550</v>
      </c>
      <c r="H90" s="8" t="s">
        <v>331</v>
      </c>
      <c r="I90" s="21">
        <v>3.3000000000000002E-2</v>
      </c>
      <c r="J90" s="21" t="s">
        <v>356</v>
      </c>
      <c r="K90" s="252" t="s">
        <v>354</v>
      </c>
      <c r="L90" s="252"/>
      <c r="M90" s="252"/>
      <c r="N90" s="252"/>
      <c r="O90" s="21" t="s">
        <v>352</v>
      </c>
      <c r="P90" s="252">
        <v>3.3300000000000003E-2</v>
      </c>
      <c r="Q90" s="252"/>
      <c r="R90" s="21">
        <v>0.02</v>
      </c>
      <c r="S90" s="34" t="s">
        <v>1237</v>
      </c>
      <c r="T90" s="21">
        <v>2.3599999999999999E-2</v>
      </c>
      <c r="U90" s="28">
        <v>9.4000000000000004E-3</v>
      </c>
      <c r="V90" s="252" t="s">
        <v>33</v>
      </c>
      <c r="W90" s="20" t="s">
        <v>110</v>
      </c>
      <c r="X90" s="8" t="s">
        <v>353</v>
      </c>
      <c r="Y90" s="8" t="s">
        <v>33</v>
      </c>
      <c r="Z90" s="10" t="s">
        <v>351</v>
      </c>
      <c r="AA90" s="32" t="s">
        <v>357</v>
      </c>
      <c r="AB90" s="7" t="s">
        <v>32</v>
      </c>
      <c r="AC90" s="276" t="s">
        <v>33</v>
      </c>
      <c r="AD90" s="257" t="s">
        <v>1101</v>
      </c>
      <c r="AE90" s="257"/>
      <c r="AF90" s="257"/>
      <c r="AG90" s="257"/>
      <c r="AH90" s="257"/>
      <c r="AI90" s="257"/>
      <c r="AJ90" s="257"/>
      <c r="AK90" s="257"/>
      <c r="AL90" s="257"/>
      <c r="AM90" s="257"/>
      <c r="AN90" s="4"/>
      <c r="AO90" s="4"/>
      <c r="AP90" s="4"/>
      <c r="AQ90" s="4"/>
    </row>
    <row r="91" spans="1:43" ht="109.95" customHeight="1" x14ac:dyDescent="0.3">
      <c r="A91" s="274"/>
      <c r="B91" s="24" t="s">
        <v>347</v>
      </c>
      <c r="C91" s="16">
        <v>413</v>
      </c>
      <c r="D91" s="16">
        <v>413</v>
      </c>
      <c r="E91" s="16">
        <v>50000</v>
      </c>
      <c r="F91" s="8" t="s">
        <v>48</v>
      </c>
      <c r="G91" s="6" t="s">
        <v>359</v>
      </c>
      <c r="H91" s="44" t="s">
        <v>358</v>
      </c>
      <c r="I91" s="28" t="s">
        <v>360</v>
      </c>
      <c r="J91" s="21" t="s">
        <v>297</v>
      </c>
      <c r="K91" s="252" t="s">
        <v>361</v>
      </c>
      <c r="L91" s="252"/>
      <c r="M91" s="252"/>
      <c r="N91" s="252"/>
      <c r="O91" s="252" t="s">
        <v>33</v>
      </c>
      <c r="P91" s="252">
        <v>5.0000000000000001E-3</v>
      </c>
      <c r="Q91" s="252"/>
      <c r="R91" s="252"/>
      <c r="S91" s="21">
        <v>0.01</v>
      </c>
      <c r="T91" s="252">
        <v>4.1300000000000003E-2</v>
      </c>
      <c r="U91" s="21">
        <v>-3.6299999999999999E-2</v>
      </c>
      <c r="V91" s="252"/>
      <c r="W91" s="10" t="s">
        <v>362</v>
      </c>
      <c r="X91" s="8" t="s">
        <v>33</v>
      </c>
      <c r="Y91" s="8" t="s">
        <v>33</v>
      </c>
      <c r="Z91" s="42" t="s">
        <v>75</v>
      </c>
      <c r="AA91" s="24" t="s">
        <v>4</v>
      </c>
      <c r="AB91" s="7" t="s">
        <v>32</v>
      </c>
      <c r="AC91" s="277"/>
      <c r="AD91" s="257" t="s">
        <v>363</v>
      </c>
      <c r="AE91" s="257"/>
      <c r="AF91" s="257"/>
      <c r="AG91" s="257"/>
      <c r="AH91" s="257"/>
      <c r="AI91" s="257"/>
      <c r="AJ91" s="257"/>
      <c r="AK91" s="257"/>
      <c r="AL91" s="257"/>
      <c r="AM91" s="257"/>
      <c r="AN91" s="4"/>
      <c r="AO91" s="4"/>
      <c r="AP91" s="4"/>
      <c r="AQ91" s="4"/>
    </row>
    <row r="92" spans="1:43" ht="109.95" customHeight="1" x14ac:dyDescent="0.3">
      <c r="A92" s="274"/>
      <c r="B92" s="24" t="s">
        <v>348</v>
      </c>
      <c r="C92" s="16">
        <v>590</v>
      </c>
      <c r="D92" s="16">
        <v>590</v>
      </c>
      <c r="E92" s="16" t="s">
        <v>364</v>
      </c>
      <c r="F92" s="8" t="s">
        <v>1</v>
      </c>
      <c r="G92" s="36" t="s">
        <v>365</v>
      </c>
      <c r="H92" s="44" t="s">
        <v>366</v>
      </c>
      <c r="I92" s="21">
        <v>0.02</v>
      </c>
      <c r="J92" s="21">
        <v>0.01</v>
      </c>
      <c r="K92" s="252">
        <v>0.02</v>
      </c>
      <c r="L92" s="252"/>
      <c r="M92" s="21">
        <v>0.01</v>
      </c>
      <c r="N92" s="28">
        <v>0.02</v>
      </c>
      <c r="O92" s="252"/>
      <c r="P92" s="252" t="s">
        <v>367</v>
      </c>
      <c r="Q92" s="252"/>
      <c r="R92" s="21">
        <v>0</v>
      </c>
      <c r="S92" s="21">
        <v>0</v>
      </c>
      <c r="T92" s="252"/>
      <c r="U92" s="21">
        <v>-2.1299999999999999E-2</v>
      </c>
      <c r="V92" s="252"/>
      <c r="W92" s="255" t="s">
        <v>33</v>
      </c>
      <c r="X92" s="255"/>
      <c r="Y92" s="255"/>
      <c r="Z92" s="255"/>
      <c r="AA92" s="32" t="s">
        <v>368</v>
      </c>
      <c r="AB92" s="7" t="s">
        <v>32</v>
      </c>
      <c r="AC92" s="277"/>
      <c r="AD92" s="257" t="s">
        <v>371</v>
      </c>
      <c r="AE92" s="257"/>
      <c r="AF92" s="257"/>
      <c r="AG92" s="257"/>
      <c r="AH92" s="257"/>
      <c r="AI92" s="257"/>
      <c r="AJ92" s="257"/>
      <c r="AK92" s="257"/>
      <c r="AL92" s="257"/>
      <c r="AM92" s="257"/>
      <c r="AN92" s="4"/>
      <c r="AO92" s="4"/>
      <c r="AP92" s="4"/>
      <c r="AQ92" s="4"/>
    </row>
    <row r="93" spans="1:43" ht="109.95" customHeight="1" x14ac:dyDescent="0.3">
      <c r="A93" s="274"/>
      <c r="B93" s="24" t="s">
        <v>349</v>
      </c>
      <c r="C93" s="16">
        <v>0</v>
      </c>
      <c r="D93" s="16">
        <v>1179</v>
      </c>
      <c r="E93" s="16" t="s">
        <v>372</v>
      </c>
      <c r="F93" s="8" t="s">
        <v>48</v>
      </c>
      <c r="G93" s="44" t="s">
        <v>374</v>
      </c>
      <c r="H93" s="8" t="s">
        <v>373</v>
      </c>
      <c r="I93" s="21" t="s">
        <v>375</v>
      </c>
      <c r="J93" s="21" t="s">
        <v>370</v>
      </c>
      <c r="K93" s="252" t="s">
        <v>375</v>
      </c>
      <c r="L93" s="252"/>
      <c r="M93" s="252"/>
      <c r="N93" s="252"/>
      <c r="O93" s="252"/>
      <c r="P93" s="252" t="s">
        <v>376</v>
      </c>
      <c r="Q93" s="252"/>
      <c r="R93" s="252"/>
      <c r="S93" s="34" t="s">
        <v>1240</v>
      </c>
      <c r="T93" s="252">
        <v>4.1300000000000003E-2</v>
      </c>
      <c r="U93" s="21">
        <v>-3.1300000000000001E-2</v>
      </c>
      <c r="V93" s="252"/>
      <c r="W93" s="8" t="s">
        <v>91</v>
      </c>
      <c r="X93" s="255" t="s">
        <v>33</v>
      </c>
      <c r="Y93" s="255"/>
      <c r="Z93" s="42" t="s">
        <v>75</v>
      </c>
      <c r="AA93" s="24" t="s">
        <v>228</v>
      </c>
      <c r="AB93" s="7" t="s">
        <v>32</v>
      </c>
      <c r="AC93" s="277"/>
      <c r="AD93" s="257" t="s">
        <v>69</v>
      </c>
      <c r="AE93" s="257"/>
      <c r="AF93" s="257"/>
      <c r="AG93" s="257"/>
      <c r="AH93" s="257"/>
      <c r="AI93" s="257"/>
      <c r="AJ93" s="257"/>
      <c r="AK93" s="257"/>
      <c r="AL93" s="257"/>
      <c r="AM93" s="257"/>
      <c r="AN93" s="4"/>
      <c r="AO93" s="4"/>
      <c r="AP93" s="4"/>
      <c r="AQ93" s="4"/>
    </row>
    <row r="94" spans="1:43" ht="109.95" customHeight="1" x14ac:dyDescent="0.3">
      <c r="A94" s="274"/>
      <c r="B94" s="24" t="s">
        <v>369</v>
      </c>
      <c r="C94" s="283" t="s">
        <v>139</v>
      </c>
      <c r="D94" s="283"/>
      <c r="E94" s="45" t="s">
        <v>377</v>
      </c>
      <c r="F94" s="8" t="s">
        <v>48</v>
      </c>
      <c r="G94" s="6" t="s">
        <v>378</v>
      </c>
      <c r="H94" s="8" t="s">
        <v>331</v>
      </c>
      <c r="I94" s="21">
        <v>2.5000000000000001E-3</v>
      </c>
      <c r="J94" s="21" t="s">
        <v>381</v>
      </c>
      <c r="K94" s="252">
        <v>2.5000000000000001E-3</v>
      </c>
      <c r="L94" s="255"/>
      <c r="M94" s="255"/>
      <c r="N94" s="255"/>
      <c r="O94" s="252"/>
      <c r="P94" s="21">
        <v>1.2500000000000001E-2</v>
      </c>
      <c r="Q94" s="21">
        <v>2.5000000000000001E-3</v>
      </c>
      <c r="R94" s="21">
        <v>1.2500000000000001E-2</v>
      </c>
      <c r="S94" s="21">
        <v>0.01</v>
      </c>
      <c r="T94" s="252"/>
      <c r="U94" s="21">
        <v>-3.8800000000000001E-2</v>
      </c>
      <c r="V94" s="252"/>
      <c r="W94" s="255" t="s">
        <v>33</v>
      </c>
      <c r="X94" s="255"/>
      <c r="Y94" s="255"/>
      <c r="Z94" s="255"/>
      <c r="AA94" s="24" t="s">
        <v>228</v>
      </c>
      <c r="AB94" s="30" t="s">
        <v>32</v>
      </c>
      <c r="AC94" s="277"/>
      <c r="AD94" s="257" t="s">
        <v>379</v>
      </c>
      <c r="AE94" s="257"/>
      <c r="AF94" s="257"/>
      <c r="AG94" s="257"/>
      <c r="AH94" s="257"/>
      <c r="AI94" s="257"/>
      <c r="AJ94" s="257"/>
      <c r="AK94" s="257"/>
      <c r="AL94" s="257"/>
      <c r="AM94" s="257"/>
      <c r="AN94" s="4"/>
      <c r="AO94" s="4"/>
      <c r="AP94" s="4"/>
      <c r="AQ94" s="4"/>
    </row>
    <row r="95" spans="1:43" ht="25.05" customHeight="1" x14ac:dyDescent="0.3">
      <c r="A95" s="273"/>
      <c r="B95" s="273"/>
      <c r="C95" s="273"/>
      <c r="D95" s="273"/>
      <c r="E95" s="273"/>
      <c r="F95" s="273"/>
      <c r="G95" s="273"/>
      <c r="H95" s="273"/>
      <c r="I95" s="273"/>
      <c r="J95" s="273"/>
      <c r="K95" s="273"/>
      <c r="L95" s="273"/>
      <c r="M95" s="273"/>
      <c r="N95" s="273"/>
      <c r="O95" s="273"/>
      <c r="P95" s="273"/>
      <c r="Q95" s="273"/>
      <c r="R95" s="273"/>
      <c r="S95" s="273"/>
      <c r="T95" s="273"/>
      <c r="U95" s="273"/>
      <c r="V95" s="273"/>
      <c r="W95" s="273"/>
      <c r="X95" s="273"/>
      <c r="Y95" s="273"/>
      <c r="Z95" s="273"/>
      <c r="AA95" s="273"/>
      <c r="AB95" s="273"/>
      <c r="AC95" s="273"/>
      <c r="AD95" s="273"/>
      <c r="AE95" s="273"/>
      <c r="AF95" s="273"/>
      <c r="AG95" s="273"/>
      <c r="AH95" s="273"/>
      <c r="AI95" s="273"/>
      <c r="AJ95" s="273"/>
      <c r="AK95" s="273"/>
      <c r="AL95" s="273"/>
      <c r="AM95" s="273"/>
      <c r="AN95" s="4"/>
      <c r="AO95" s="4"/>
      <c r="AP95" s="4"/>
      <c r="AQ95" s="4"/>
    </row>
    <row r="96" spans="1:43" ht="25.05" customHeight="1" x14ac:dyDescent="0.3">
      <c r="A96" s="312" t="s">
        <v>153</v>
      </c>
      <c r="B96" s="275" t="s">
        <v>152</v>
      </c>
      <c r="C96" s="275"/>
      <c r="D96" s="275"/>
      <c r="E96" s="275"/>
      <c r="F96" s="275"/>
      <c r="G96" s="275"/>
      <c r="H96" s="275"/>
      <c r="I96" s="275"/>
      <c r="J96" s="275"/>
      <c r="K96" s="275"/>
      <c r="L96" s="275"/>
      <c r="M96" s="275"/>
      <c r="N96" s="275"/>
      <c r="O96" s="275"/>
      <c r="P96" s="275"/>
      <c r="Q96" s="275"/>
      <c r="R96" s="275"/>
      <c r="S96" s="275"/>
      <c r="T96" s="275"/>
      <c r="U96" s="275"/>
      <c r="V96" s="275"/>
      <c r="W96" s="275"/>
      <c r="X96" s="275"/>
      <c r="Y96" s="275"/>
      <c r="Z96" s="275"/>
      <c r="AA96" s="275"/>
      <c r="AB96" s="275"/>
      <c r="AC96" s="275"/>
      <c r="AD96" s="275"/>
      <c r="AE96" s="275"/>
      <c r="AF96" s="275"/>
      <c r="AG96" s="275"/>
      <c r="AH96" s="275"/>
      <c r="AI96" s="275"/>
      <c r="AJ96" s="275"/>
      <c r="AK96" s="275"/>
      <c r="AL96" s="275"/>
      <c r="AM96" s="275"/>
      <c r="AN96" s="4"/>
      <c r="AO96" s="4"/>
      <c r="AP96" s="4"/>
      <c r="AQ96" s="4"/>
    </row>
    <row r="97" spans="1:43" ht="175.05" customHeight="1" x14ac:dyDescent="0.3">
      <c r="A97" s="312"/>
      <c r="B97" s="29" t="s">
        <v>123</v>
      </c>
      <c r="C97" s="43">
        <v>5900</v>
      </c>
      <c r="D97" s="17">
        <v>5900</v>
      </c>
      <c r="E97" s="290" t="s">
        <v>33</v>
      </c>
      <c r="F97" s="26" t="s">
        <v>77</v>
      </c>
      <c r="G97" s="36" t="s">
        <v>669</v>
      </c>
      <c r="H97" s="6" t="s">
        <v>670</v>
      </c>
      <c r="I97" s="153" t="s">
        <v>671</v>
      </c>
      <c r="J97" s="8" t="s">
        <v>679</v>
      </c>
      <c r="K97" s="8" t="s">
        <v>673</v>
      </c>
      <c r="L97" s="255" t="s">
        <v>674</v>
      </c>
      <c r="M97" s="255"/>
      <c r="N97" s="21" t="s">
        <v>672</v>
      </c>
      <c r="O97" s="252" t="s">
        <v>55</v>
      </c>
      <c r="P97" s="21" t="s">
        <v>117</v>
      </c>
      <c r="Q97" s="21" t="s">
        <v>676</v>
      </c>
      <c r="R97" s="21" t="s">
        <v>925</v>
      </c>
      <c r="S97" s="21" t="s">
        <v>1239</v>
      </c>
      <c r="T97" s="21">
        <v>4.1300000000000003E-2</v>
      </c>
      <c r="U97" s="28" t="s">
        <v>928</v>
      </c>
      <c r="V97" s="252" t="s">
        <v>33</v>
      </c>
      <c r="W97" s="8" t="s">
        <v>118</v>
      </c>
      <c r="X97" s="255" t="s">
        <v>33</v>
      </c>
      <c r="Y97" s="255"/>
      <c r="Z97" s="20" t="s">
        <v>75</v>
      </c>
      <c r="AA97" s="32" t="s">
        <v>47</v>
      </c>
      <c r="AB97" s="7" t="s">
        <v>32</v>
      </c>
      <c r="AC97" s="276" t="s">
        <v>33</v>
      </c>
      <c r="AD97" s="258" t="s">
        <v>1102</v>
      </c>
      <c r="AE97" s="257"/>
      <c r="AF97" s="257"/>
      <c r="AG97" s="257"/>
      <c r="AH97" s="257"/>
      <c r="AI97" s="257"/>
      <c r="AJ97" s="257"/>
      <c r="AK97" s="257"/>
      <c r="AL97" s="257"/>
      <c r="AM97" s="257"/>
      <c r="AN97" s="4"/>
      <c r="AO97" s="4"/>
      <c r="AP97" s="4"/>
      <c r="AQ97" s="4"/>
    </row>
    <row r="98" spans="1:43" ht="175.05" customHeight="1" x14ac:dyDescent="0.3">
      <c r="A98" s="312"/>
      <c r="B98" s="24" t="s">
        <v>122</v>
      </c>
      <c r="C98" s="16">
        <v>1180</v>
      </c>
      <c r="D98" s="16">
        <v>5310</v>
      </c>
      <c r="E98" s="290"/>
      <c r="F98" s="8" t="s">
        <v>48</v>
      </c>
      <c r="G98" s="36" t="s">
        <v>675</v>
      </c>
      <c r="H98" s="6" t="s">
        <v>78</v>
      </c>
      <c r="I98" s="21" t="s">
        <v>923</v>
      </c>
      <c r="J98" s="21" t="s">
        <v>375</v>
      </c>
      <c r="K98" s="252" t="s">
        <v>931</v>
      </c>
      <c r="L98" s="252"/>
      <c r="M98" s="252"/>
      <c r="N98" s="252"/>
      <c r="O98" s="252"/>
      <c r="P98" s="21" t="s">
        <v>117</v>
      </c>
      <c r="Q98" s="21" t="s">
        <v>924</v>
      </c>
      <c r="R98" s="21" t="s">
        <v>926</v>
      </c>
      <c r="S98" s="21" t="s">
        <v>1239</v>
      </c>
      <c r="T98" s="21">
        <v>4.1300000000000003E-2</v>
      </c>
      <c r="U98" s="28" t="s">
        <v>929</v>
      </c>
      <c r="V98" s="252"/>
      <c r="W98" s="255" t="s">
        <v>55</v>
      </c>
      <c r="X98" s="255"/>
      <c r="Y98" s="255"/>
      <c r="Z98" s="255"/>
      <c r="AA98" s="32" t="s">
        <v>126</v>
      </c>
      <c r="AB98" s="7" t="s">
        <v>32</v>
      </c>
      <c r="AC98" s="277"/>
      <c r="AD98" s="257"/>
      <c r="AE98" s="257"/>
      <c r="AF98" s="257"/>
      <c r="AG98" s="257"/>
      <c r="AH98" s="257"/>
      <c r="AI98" s="257"/>
      <c r="AJ98" s="257"/>
      <c r="AK98" s="257"/>
      <c r="AL98" s="257"/>
      <c r="AM98" s="257"/>
      <c r="AN98" s="4"/>
      <c r="AO98" s="4"/>
      <c r="AP98" s="4"/>
      <c r="AQ98" s="4"/>
    </row>
    <row r="99" spans="1:43" ht="175.05" customHeight="1" x14ac:dyDescent="0.3">
      <c r="A99" s="312"/>
      <c r="B99" s="24" t="s">
        <v>124</v>
      </c>
      <c r="C99" s="16">
        <v>1180</v>
      </c>
      <c r="D99" s="16">
        <v>5310</v>
      </c>
      <c r="E99" s="31" t="s">
        <v>125</v>
      </c>
      <c r="F99" s="8" t="s">
        <v>48</v>
      </c>
      <c r="G99" s="6" t="s">
        <v>678</v>
      </c>
      <c r="H99" s="6" t="s">
        <v>78</v>
      </c>
      <c r="I99" s="21" t="s">
        <v>923</v>
      </c>
      <c r="J99" s="21" t="s">
        <v>375</v>
      </c>
      <c r="K99" s="255" t="s">
        <v>932</v>
      </c>
      <c r="L99" s="255"/>
      <c r="M99" s="255"/>
      <c r="N99" s="21" t="s">
        <v>672</v>
      </c>
      <c r="O99" s="252"/>
      <c r="P99" s="21" t="s">
        <v>117</v>
      </c>
      <c r="Q99" s="21" t="s">
        <v>924</v>
      </c>
      <c r="R99" s="21" t="s">
        <v>927</v>
      </c>
      <c r="S99" s="21" t="s">
        <v>1239</v>
      </c>
      <c r="T99" s="21">
        <v>4.1300000000000003E-2</v>
      </c>
      <c r="U99" s="28" t="s">
        <v>929</v>
      </c>
      <c r="V99" s="252"/>
      <c r="W99" s="255"/>
      <c r="X99" s="255"/>
      <c r="Y99" s="255"/>
      <c r="Z99" s="255"/>
      <c r="AA99" s="32" t="s">
        <v>126</v>
      </c>
      <c r="AB99" s="30" t="s">
        <v>127</v>
      </c>
      <c r="AC99" s="277"/>
      <c r="AD99" s="257"/>
      <c r="AE99" s="257"/>
      <c r="AF99" s="257"/>
      <c r="AG99" s="257"/>
      <c r="AH99" s="257"/>
      <c r="AI99" s="257"/>
      <c r="AJ99" s="257"/>
      <c r="AK99" s="257"/>
      <c r="AL99" s="257"/>
      <c r="AM99" s="257"/>
      <c r="AN99" s="4"/>
      <c r="AO99" s="4"/>
      <c r="AP99" s="4"/>
      <c r="AQ99" s="4"/>
    </row>
    <row r="100" spans="1:43" ht="25.05" customHeight="1" x14ac:dyDescent="0.3">
      <c r="A100" s="292"/>
      <c r="B100" s="292"/>
      <c r="C100" s="292"/>
      <c r="D100" s="292"/>
      <c r="E100" s="292"/>
      <c r="F100" s="292"/>
      <c r="G100" s="292"/>
      <c r="H100" s="292"/>
      <c r="I100" s="292"/>
      <c r="J100" s="292"/>
      <c r="K100" s="292"/>
      <c r="L100" s="292"/>
      <c r="M100" s="292"/>
      <c r="N100" s="292"/>
      <c r="O100" s="292"/>
      <c r="P100" s="292"/>
      <c r="Q100" s="292"/>
      <c r="R100" s="292"/>
      <c r="S100" s="292"/>
      <c r="T100" s="292"/>
      <c r="U100" s="292"/>
      <c r="V100" s="292"/>
      <c r="W100" s="292"/>
      <c r="X100" s="292"/>
      <c r="Y100" s="292"/>
      <c r="Z100" s="292"/>
      <c r="AA100" s="292"/>
      <c r="AB100" s="292"/>
      <c r="AC100" s="292"/>
      <c r="AD100" s="292"/>
      <c r="AE100" s="292"/>
      <c r="AF100" s="292"/>
      <c r="AG100" s="292"/>
      <c r="AH100" s="292"/>
      <c r="AI100" s="292"/>
      <c r="AJ100" s="292"/>
      <c r="AK100" s="292"/>
      <c r="AL100" s="292"/>
      <c r="AM100" s="292"/>
      <c r="AN100" s="4"/>
      <c r="AO100" s="4"/>
      <c r="AP100" s="4"/>
      <c r="AQ100" s="4"/>
    </row>
    <row r="101" spans="1:43" ht="25.05" customHeight="1" x14ac:dyDescent="0.3">
      <c r="A101" s="308" t="s">
        <v>556</v>
      </c>
      <c r="B101" s="275" t="s">
        <v>768</v>
      </c>
      <c r="C101" s="275"/>
      <c r="D101" s="275"/>
      <c r="E101" s="275"/>
      <c r="F101" s="275"/>
      <c r="G101" s="275"/>
      <c r="H101" s="275"/>
      <c r="I101" s="275"/>
      <c r="J101" s="275"/>
      <c r="K101" s="275"/>
      <c r="L101" s="275"/>
      <c r="M101" s="275"/>
      <c r="N101" s="275"/>
      <c r="O101" s="275"/>
      <c r="P101" s="275"/>
      <c r="Q101" s="275"/>
      <c r="R101" s="275"/>
      <c r="S101" s="275"/>
      <c r="T101" s="275"/>
      <c r="U101" s="275"/>
      <c r="V101" s="275"/>
      <c r="W101" s="275"/>
      <c r="X101" s="275"/>
      <c r="Y101" s="275"/>
      <c r="Z101" s="275"/>
      <c r="AA101" s="275"/>
      <c r="AB101" s="275"/>
      <c r="AC101" s="275"/>
      <c r="AD101" s="275"/>
      <c r="AE101" s="275"/>
      <c r="AF101" s="275"/>
      <c r="AG101" s="275"/>
      <c r="AH101" s="275"/>
      <c r="AI101" s="275"/>
      <c r="AJ101" s="275"/>
      <c r="AK101" s="275"/>
      <c r="AL101" s="275"/>
      <c r="AM101" s="275"/>
      <c r="AN101" s="4"/>
      <c r="AO101" s="4"/>
      <c r="AP101" s="4"/>
      <c r="AQ101" s="4"/>
    </row>
    <row r="102" spans="1:43" ht="150" customHeight="1" x14ac:dyDescent="0.3">
      <c r="A102" s="308"/>
      <c r="B102" s="29" t="s">
        <v>551</v>
      </c>
      <c r="C102" s="253" t="s">
        <v>139</v>
      </c>
      <c r="D102" s="253"/>
      <c r="E102" s="17" t="s">
        <v>33</v>
      </c>
      <c r="F102" s="8" t="s">
        <v>48</v>
      </c>
      <c r="G102" s="6" t="s">
        <v>746</v>
      </c>
      <c r="H102" s="44" t="s">
        <v>747</v>
      </c>
      <c r="I102" s="10" t="s">
        <v>69</v>
      </c>
      <c r="J102" s="8" t="s">
        <v>748</v>
      </c>
      <c r="K102" s="254" t="s">
        <v>69</v>
      </c>
      <c r="L102" s="254"/>
      <c r="M102" s="254"/>
      <c r="N102" s="254"/>
      <c r="O102" s="254"/>
      <c r="P102" s="254"/>
      <c r="Q102" s="254"/>
      <c r="R102" s="254"/>
      <c r="S102" s="34" t="s">
        <v>1311</v>
      </c>
      <c r="T102" s="21">
        <v>4.1300000000000003E-2</v>
      </c>
      <c r="U102" s="21">
        <v>-3.4299999999999997E-2</v>
      </c>
      <c r="V102" s="28">
        <v>7.0000000000000001E-3</v>
      </c>
      <c r="W102" s="255" t="s">
        <v>33</v>
      </c>
      <c r="X102" s="255"/>
      <c r="Y102" s="255"/>
      <c r="Z102" s="255"/>
      <c r="AA102" s="24" t="s">
        <v>5</v>
      </c>
      <c r="AB102" s="7" t="s">
        <v>32</v>
      </c>
      <c r="AC102" s="256" t="s">
        <v>33</v>
      </c>
      <c r="AD102" s="257" t="s">
        <v>69</v>
      </c>
      <c r="AE102" s="257"/>
      <c r="AF102" s="257"/>
      <c r="AG102" s="257"/>
      <c r="AH102" s="257"/>
      <c r="AI102" s="257"/>
      <c r="AJ102" s="257"/>
      <c r="AK102" s="257"/>
      <c r="AL102" s="257"/>
      <c r="AM102" s="257"/>
      <c r="AN102" s="4"/>
      <c r="AO102" s="4"/>
      <c r="AP102" s="4"/>
      <c r="AQ102" s="4"/>
    </row>
    <row r="103" spans="1:43" ht="150" customHeight="1" x14ac:dyDescent="0.3">
      <c r="A103" s="308"/>
      <c r="B103" s="29" t="s">
        <v>552</v>
      </c>
      <c r="C103" s="43">
        <v>2360</v>
      </c>
      <c r="D103" s="17">
        <v>2360</v>
      </c>
      <c r="E103" s="17" t="s">
        <v>33</v>
      </c>
      <c r="F103" s="26" t="s">
        <v>750</v>
      </c>
      <c r="G103" s="36" t="s">
        <v>754</v>
      </c>
      <c r="H103" s="44" t="s">
        <v>753</v>
      </c>
      <c r="I103" s="8" t="s">
        <v>758</v>
      </c>
      <c r="J103" s="8" t="s">
        <v>755</v>
      </c>
      <c r="K103" s="255" t="s">
        <v>759</v>
      </c>
      <c r="L103" s="255"/>
      <c r="M103" s="255"/>
      <c r="N103" s="21">
        <v>8.0000000000000002E-3</v>
      </c>
      <c r="O103" s="28" t="s">
        <v>1001</v>
      </c>
      <c r="P103" s="70" t="s">
        <v>752</v>
      </c>
      <c r="Q103" s="34">
        <v>8.0000000000000002E-3</v>
      </c>
      <c r="R103" s="21">
        <v>0</v>
      </c>
      <c r="S103" s="34" t="s">
        <v>1309</v>
      </c>
      <c r="T103" s="252">
        <v>4.1300000000000003E-2</v>
      </c>
      <c r="U103" s="21">
        <v>-3.3300000000000003E-2</v>
      </c>
      <c r="V103" s="21" t="s">
        <v>33</v>
      </c>
      <c r="W103" s="8" t="s">
        <v>118</v>
      </c>
      <c r="X103" s="20" t="s">
        <v>751</v>
      </c>
      <c r="Y103" s="8" t="s">
        <v>33</v>
      </c>
      <c r="Z103" s="258" t="s">
        <v>75</v>
      </c>
      <c r="AA103" s="32" t="s">
        <v>749</v>
      </c>
      <c r="AB103" s="7" t="s">
        <v>32</v>
      </c>
      <c r="AC103" s="256"/>
      <c r="AD103" s="258" t="s">
        <v>760</v>
      </c>
      <c r="AE103" s="258"/>
      <c r="AF103" s="258"/>
      <c r="AG103" s="258"/>
      <c r="AH103" s="258"/>
      <c r="AI103" s="258"/>
      <c r="AJ103" s="258"/>
      <c r="AK103" s="258"/>
      <c r="AL103" s="258"/>
      <c r="AM103" s="258"/>
      <c r="AN103" s="4"/>
      <c r="AO103" s="4"/>
      <c r="AP103" s="4"/>
      <c r="AQ103" s="4"/>
    </row>
    <row r="104" spans="1:43" ht="150" customHeight="1" x14ac:dyDescent="0.3">
      <c r="A104" s="308"/>
      <c r="B104" s="29" t="s">
        <v>553</v>
      </c>
      <c r="C104" s="17">
        <v>17700</v>
      </c>
      <c r="D104" s="56" t="s">
        <v>139</v>
      </c>
      <c r="E104" s="17" t="s">
        <v>33</v>
      </c>
      <c r="F104" s="26" t="s">
        <v>48</v>
      </c>
      <c r="G104" s="6" t="s">
        <v>763</v>
      </c>
      <c r="H104" s="8" t="s">
        <v>331</v>
      </c>
      <c r="I104" s="21">
        <v>1.4999999999999999E-2</v>
      </c>
      <c r="J104" s="21">
        <v>0.01</v>
      </c>
      <c r="K104" s="21">
        <v>2.5000000000000001E-2</v>
      </c>
      <c r="L104" s="252">
        <v>1.4999999999999999E-2</v>
      </c>
      <c r="M104" s="252"/>
      <c r="N104" s="21">
        <v>7.0000000000000001E-3</v>
      </c>
      <c r="O104" s="28" t="s">
        <v>762</v>
      </c>
      <c r="P104" s="34">
        <v>0.01</v>
      </c>
      <c r="Q104" s="34" t="s">
        <v>764</v>
      </c>
      <c r="R104" s="21">
        <v>0</v>
      </c>
      <c r="S104" s="34" t="s">
        <v>1310</v>
      </c>
      <c r="T104" s="252"/>
      <c r="U104" s="21">
        <v>-3.1300000000000001E-2</v>
      </c>
      <c r="V104" s="21" t="s">
        <v>33</v>
      </c>
      <c r="W104" s="8" t="s">
        <v>761</v>
      </c>
      <c r="X104" s="8" t="s">
        <v>118</v>
      </c>
      <c r="Y104" s="8" t="s">
        <v>33</v>
      </c>
      <c r="Z104" s="258"/>
      <c r="AA104" s="24" t="s">
        <v>765</v>
      </c>
      <c r="AB104" s="7" t="s">
        <v>32</v>
      </c>
      <c r="AC104" s="256"/>
      <c r="AD104" s="257" t="s">
        <v>1103</v>
      </c>
      <c r="AE104" s="257"/>
      <c r="AF104" s="257"/>
      <c r="AG104" s="257"/>
      <c r="AH104" s="257"/>
      <c r="AI104" s="257"/>
      <c r="AJ104" s="257"/>
      <c r="AK104" s="257"/>
      <c r="AL104" s="257"/>
      <c r="AM104" s="257"/>
      <c r="AN104" s="4"/>
      <c r="AO104" s="4"/>
      <c r="AP104" s="4"/>
      <c r="AQ104" s="4"/>
    </row>
    <row r="105" spans="1:43" ht="150" customHeight="1" x14ac:dyDescent="0.3">
      <c r="A105" s="308"/>
      <c r="B105" s="29" t="s">
        <v>554</v>
      </c>
      <c r="C105" s="259" t="s">
        <v>139</v>
      </c>
      <c r="D105" s="259"/>
      <c r="E105" s="17" t="s">
        <v>33</v>
      </c>
      <c r="F105" s="26" t="s">
        <v>48</v>
      </c>
      <c r="G105" s="71" t="s">
        <v>771</v>
      </c>
      <c r="H105" s="8" t="s">
        <v>331</v>
      </c>
      <c r="I105" s="21" t="s">
        <v>1317</v>
      </c>
      <c r="J105" s="21" t="s">
        <v>772</v>
      </c>
      <c r="K105" s="248" t="s">
        <v>773</v>
      </c>
      <c r="L105" s="249"/>
      <c r="M105" s="249"/>
      <c r="N105" s="250"/>
      <c r="O105" s="20" t="s">
        <v>766</v>
      </c>
      <c r="P105" s="251" t="s">
        <v>773</v>
      </c>
      <c r="Q105" s="251"/>
      <c r="R105" s="251"/>
      <c r="S105" s="34" t="s">
        <v>1311</v>
      </c>
      <c r="T105" s="21">
        <v>1.77E-2</v>
      </c>
      <c r="U105" s="21">
        <v>-5.7000000000000002E-3</v>
      </c>
      <c r="V105" s="21" t="s">
        <v>33</v>
      </c>
      <c r="W105" s="8" t="s">
        <v>118</v>
      </c>
      <c r="X105" s="8" t="s">
        <v>769</v>
      </c>
      <c r="Y105" s="8" t="s">
        <v>33</v>
      </c>
      <c r="Z105" s="258"/>
      <c r="AA105" s="32" t="s">
        <v>770</v>
      </c>
      <c r="AB105" s="7" t="s">
        <v>32</v>
      </c>
      <c r="AC105" s="256"/>
      <c r="AD105" s="257" t="s">
        <v>1104</v>
      </c>
      <c r="AE105" s="257"/>
      <c r="AF105" s="257"/>
      <c r="AG105" s="257"/>
      <c r="AH105" s="257"/>
      <c r="AI105" s="257"/>
      <c r="AJ105" s="257"/>
      <c r="AK105" s="257"/>
      <c r="AL105" s="257"/>
      <c r="AM105" s="257"/>
      <c r="AN105" s="4"/>
      <c r="AO105" s="4"/>
      <c r="AP105" s="4"/>
      <c r="AQ105" s="4"/>
    </row>
    <row r="106" spans="1:43" ht="25.05" customHeight="1" x14ac:dyDescent="0.3">
      <c r="A106" s="301"/>
      <c r="B106" s="301"/>
      <c r="C106" s="301"/>
      <c r="D106" s="301"/>
      <c r="E106" s="301"/>
      <c r="F106" s="301"/>
      <c r="G106" s="301"/>
      <c r="H106" s="301"/>
      <c r="I106" s="301"/>
      <c r="J106" s="301"/>
      <c r="K106" s="301"/>
      <c r="L106" s="301"/>
      <c r="M106" s="301"/>
      <c r="N106" s="301"/>
      <c r="O106" s="301"/>
      <c r="P106" s="301"/>
      <c r="Q106" s="301"/>
      <c r="R106" s="301"/>
      <c r="S106" s="301"/>
      <c r="T106" s="301"/>
      <c r="U106" s="301"/>
      <c r="V106" s="301"/>
      <c r="W106" s="301"/>
      <c r="X106" s="301"/>
      <c r="Y106" s="301"/>
      <c r="Z106" s="301"/>
      <c r="AA106" s="301"/>
      <c r="AB106" s="301"/>
      <c r="AC106" s="301"/>
      <c r="AD106" s="301"/>
      <c r="AE106" s="301"/>
      <c r="AF106" s="301"/>
      <c r="AG106" s="301"/>
      <c r="AH106" s="301"/>
      <c r="AI106" s="301"/>
      <c r="AJ106" s="301"/>
      <c r="AK106" s="301"/>
      <c r="AL106" s="301"/>
      <c r="AM106" s="301"/>
      <c r="AN106" s="4"/>
      <c r="AO106" s="4"/>
      <c r="AP106" s="4"/>
      <c r="AQ106" s="4"/>
    </row>
    <row r="107" spans="1:43" ht="25.05" customHeight="1" x14ac:dyDescent="0.3">
      <c r="A107" s="311" t="s">
        <v>566</v>
      </c>
      <c r="B107" s="275" t="s">
        <v>767</v>
      </c>
      <c r="C107" s="275"/>
      <c r="D107" s="275"/>
      <c r="E107" s="275"/>
      <c r="F107" s="275"/>
      <c r="G107" s="275"/>
      <c r="H107" s="275"/>
      <c r="I107" s="275"/>
      <c r="J107" s="275"/>
      <c r="K107" s="275"/>
      <c r="L107" s="275"/>
      <c r="M107" s="275"/>
      <c r="N107" s="275"/>
      <c r="O107" s="275"/>
      <c r="P107" s="275"/>
      <c r="Q107" s="275"/>
      <c r="R107" s="275"/>
      <c r="S107" s="275"/>
      <c r="T107" s="275"/>
      <c r="U107" s="275"/>
      <c r="V107" s="275"/>
      <c r="W107" s="275"/>
      <c r="X107" s="275"/>
      <c r="Y107" s="275"/>
      <c r="Z107" s="275"/>
      <c r="AA107" s="275"/>
      <c r="AB107" s="275"/>
      <c r="AC107" s="275"/>
      <c r="AD107" s="275"/>
      <c r="AE107" s="275"/>
      <c r="AF107" s="275"/>
      <c r="AG107" s="275"/>
      <c r="AH107" s="275"/>
      <c r="AI107" s="275"/>
      <c r="AJ107" s="275"/>
      <c r="AK107" s="275"/>
      <c r="AL107" s="275"/>
      <c r="AM107" s="275"/>
      <c r="AN107" s="4"/>
      <c r="AO107" s="4"/>
      <c r="AP107" s="4"/>
      <c r="AQ107" s="4"/>
    </row>
    <row r="108" spans="1:43" ht="169.95" customHeight="1" x14ac:dyDescent="0.3">
      <c r="A108" s="311"/>
      <c r="B108" s="29" t="s">
        <v>561</v>
      </c>
      <c r="C108" s="43">
        <v>11800</v>
      </c>
      <c r="D108" s="17">
        <v>5900</v>
      </c>
      <c r="E108" s="69" t="s">
        <v>688</v>
      </c>
      <c r="F108" s="26" t="s">
        <v>48</v>
      </c>
      <c r="G108" s="152" t="s">
        <v>723</v>
      </c>
      <c r="H108" s="8" t="s">
        <v>742</v>
      </c>
      <c r="I108" s="8" t="s">
        <v>705</v>
      </c>
      <c r="J108" s="20" t="s">
        <v>708</v>
      </c>
      <c r="K108" s="255" t="s">
        <v>704</v>
      </c>
      <c r="L108" s="255"/>
      <c r="M108" s="8" t="s">
        <v>706</v>
      </c>
      <c r="N108" s="8" t="s">
        <v>710</v>
      </c>
      <c r="O108" s="28" t="s">
        <v>703</v>
      </c>
      <c r="P108" s="260" t="s">
        <v>707</v>
      </c>
      <c r="Q108" s="260"/>
      <c r="R108" s="252">
        <v>0</v>
      </c>
      <c r="S108" s="34" t="s">
        <v>1237</v>
      </c>
      <c r="T108" s="21">
        <v>1.18E-2</v>
      </c>
      <c r="U108" s="28" t="s">
        <v>709</v>
      </c>
      <c r="V108" s="252" t="s">
        <v>33</v>
      </c>
      <c r="W108" s="8" t="s">
        <v>701</v>
      </c>
      <c r="X108" s="8" t="s">
        <v>702</v>
      </c>
      <c r="Y108" s="255" t="s">
        <v>33</v>
      </c>
      <c r="Z108" s="261" t="s">
        <v>711</v>
      </c>
      <c r="AA108" s="32" t="s">
        <v>700</v>
      </c>
      <c r="AB108" s="7" t="s">
        <v>32</v>
      </c>
      <c r="AC108" s="256" t="s">
        <v>33</v>
      </c>
      <c r="AD108" s="257" t="s">
        <v>1105</v>
      </c>
      <c r="AE108" s="257"/>
      <c r="AF108" s="257"/>
      <c r="AG108" s="257"/>
      <c r="AH108" s="257"/>
      <c r="AI108" s="257"/>
      <c r="AJ108" s="257"/>
      <c r="AK108" s="257"/>
      <c r="AL108" s="257"/>
      <c r="AM108" s="257"/>
      <c r="AN108" s="4"/>
      <c r="AO108" s="4"/>
      <c r="AP108" s="4"/>
      <c r="AQ108" s="4"/>
    </row>
    <row r="109" spans="1:43" ht="169.95" customHeight="1" x14ac:dyDescent="0.3">
      <c r="A109" s="311"/>
      <c r="B109" s="29" t="s">
        <v>562</v>
      </c>
      <c r="C109" s="43">
        <v>2360</v>
      </c>
      <c r="D109" s="17">
        <v>2360</v>
      </c>
      <c r="E109" s="69" t="s">
        <v>405</v>
      </c>
      <c r="F109" s="26" t="s">
        <v>48</v>
      </c>
      <c r="G109" s="58" t="s">
        <v>715</v>
      </c>
      <c r="H109" s="8" t="s">
        <v>743</v>
      </c>
      <c r="I109" s="8" t="s">
        <v>716</v>
      </c>
      <c r="J109" s="8" t="s">
        <v>717</v>
      </c>
      <c r="K109" s="255" t="s">
        <v>718</v>
      </c>
      <c r="L109" s="255"/>
      <c r="M109" s="8" t="s">
        <v>717</v>
      </c>
      <c r="N109" s="8" t="s">
        <v>719</v>
      </c>
      <c r="O109" s="28" t="s">
        <v>712</v>
      </c>
      <c r="P109" s="260" t="s">
        <v>332</v>
      </c>
      <c r="Q109" s="260"/>
      <c r="R109" s="252"/>
      <c r="S109" s="34" t="s">
        <v>1237</v>
      </c>
      <c r="T109" s="21">
        <v>2.06E-2</v>
      </c>
      <c r="U109" s="21" t="s">
        <v>721</v>
      </c>
      <c r="V109" s="252"/>
      <c r="W109" s="8" t="s">
        <v>714</v>
      </c>
      <c r="X109" s="8" t="s">
        <v>713</v>
      </c>
      <c r="Y109" s="255"/>
      <c r="Z109" s="261"/>
      <c r="AA109" s="24" t="s">
        <v>700</v>
      </c>
      <c r="AB109" s="7" t="s">
        <v>32</v>
      </c>
      <c r="AC109" s="256"/>
      <c r="AD109" s="263" t="s">
        <v>1106</v>
      </c>
      <c r="AE109" s="257"/>
      <c r="AF109" s="257"/>
      <c r="AG109" s="257"/>
      <c r="AH109" s="257"/>
      <c r="AI109" s="257"/>
      <c r="AJ109" s="257"/>
      <c r="AK109" s="257"/>
      <c r="AL109" s="257"/>
      <c r="AM109" s="257"/>
      <c r="AN109" s="4"/>
      <c r="AO109" s="4"/>
      <c r="AP109" s="4"/>
      <c r="AQ109" s="4"/>
    </row>
    <row r="110" spans="1:43" ht="169.95" customHeight="1" x14ac:dyDescent="0.3">
      <c r="A110" s="311"/>
      <c r="B110" s="29" t="s">
        <v>563</v>
      </c>
      <c r="C110" s="17">
        <v>1180</v>
      </c>
      <c r="D110" s="17">
        <v>1180</v>
      </c>
      <c r="E110" s="69" t="s">
        <v>313</v>
      </c>
      <c r="F110" s="26" t="s">
        <v>48</v>
      </c>
      <c r="G110" s="6" t="s">
        <v>722</v>
      </c>
      <c r="H110" s="8" t="s">
        <v>729</v>
      </c>
      <c r="I110" s="8" t="s">
        <v>724</v>
      </c>
      <c r="J110" s="8" t="s">
        <v>720</v>
      </c>
      <c r="K110" s="255" t="s">
        <v>717</v>
      </c>
      <c r="L110" s="255"/>
      <c r="M110" s="8" t="s">
        <v>720</v>
      </c>
      <c r="N110" s="8" t="s">
        <v>725</v>
      </c>
      <c r="O110" s="28" t="s">
        <v>712</v>
      </c>
      <c r="P110" s="260" t="s">
        <v>726</v>
      </c>
      <c r="Q110" s="260"/>
      <c r="R110" s="252"/>
      <c r="S110" s="34" t="s">
        <v>1236</v>
      </c>
      <c r="T110" s="21">
        <v>3.2399999999999998E-2</v>
      </c>
      <c r="U110" s="21">
        <v>-1.7399999999999999E-2</v>
      </c>
      <c r="V110" s="252"/>
      <c r="W110" s="8" t="s">
        <v>737</v>
      </c>
      <c r="X110" s="8" t="s">
        <v>738</v>
      </c>
      <c r="Y110" s="255"/>
      <c r="Z110" s="261"/>
      <c r="AA110" s="24" t="s">
        <v>727</v>
      </c>
      <c r="AB110" s="7" t="s">
        <v>32</v>
      </c>
      <c r="AC110" s="256"/>
      <c r="AD110" s="257" t="s">
        <v>74</v>
      </c>
      <c r="AE110" s="257"/>
      <c r="AF110" s="257"/>
      <c r="AG110" s="257"/>
      <c r="AH110" s="257"/>
      <c r="AI110" s="257"/>
      <c r="AJ110" s="257"/>
      <c r="AK110" s="257"/>
      <c r="AL110" s="257"/>
      <c r="AM110" s="257"/>
      <c r="AN110" s="4"/>
      <c r="AO110" s="4"/>
      <c r="AP110" s="4"/>
      <c r="AQ110" s="4"/>
    </row>
    <row r="111" spans="1:43" ht="169.95" customHeight="1" x14ac:dyDescent="0.3">
      <c r="A111" s="311"/>
      <c r="B111" s="29" t="s">
        <v>564</v>
      </c>
      <c r="C111" s="17">
        <v>590</v>
      </c>
      <c r="D111" s="17">
        <v>590</v>
      </c>
      <c r="E111" s="17">
        <v>50000</v>
      </c>
      <c r="F111" s="26" t="s">
        <v>48</v>
      </c>
      <c r="G111" s="6" t="s">
        <v>728</v>
      </c>
      <c r="H111" s="8" t="s">
        <v>741</v>
      </c>
      <c r="I111" s="8" t="s">
        <v>730</v>
      </c>
      <c r="J111" s="8" t="s">
        <v>731</v>
      </c>
      <c r="K111" s="255" t="s">
        <v>732</v>
      </c>
      <c r="L111" s="255"/>
      <c r="M111" s="8" t="s">
        <v>731</v>
      </c>
      <c r="N111" s="8" t="s">
        <v>733</v>
      </c>
      <c r="O111" s="252" t="s">
        <v>33</v>
      </c>
      <c r="P111" s="260" t="s">
        <v>677</v>
      </c>
      <c r="Q111" s="260"/>
      <c r="R111" s="252"/>
      <c r="S111" s="34" t="s">
        <v>1250</v>
      </c>
      <c r="T111" s="21">
        <v>3.2399999999999998E-2</v>
      </c>
      <c r="U111" s="21">
        <v>-2.24E-2</v>
      </c>
      <c r="V111" s="252"/>
      <c r="W111" s="255" t="s">
        <v>33</v>
      </c>
      <c r="X111" s="255"/>
      <c r="Y111" s="255"/>
      <c r="Z111" s="255"/>
      <c r="AA111" s="24" t="s">
        <v>228</v>
      </c>
      <c r="AB111" s="7" t="s">
        <v>32</v>
      </c>
      <c r="AC111" s="256"/>
      <c r="AD111" s="257" t="s">
        <v>69</v>
      </c>
      <c r="AE111" s="257"/>
      <c r="AF111" s="257"/>
      <c r="AG111" s="257"/>
      <c r="AH111" s="257"/>
      <c r="AI111" s="257"/>
      <c r="AJ111" s="257"/>
      <c r="AK111" s="257"/>
      <c r="AL111" s="257"/>
      <c r="AM111" s="257"/>
      <c r="AN111" s="4"/>
      <c r="AO111" s="4"/>
      <c r="AP111" s="4"/>
      <c r="AQ111" s="4"/>
    </row>
    <row r="112" spans="1:43" ht="169.95" customHeight="1" x14ac:dyDescent="0.3">
      <c r="A112" s="311"/>
      <c r="B112" s="24" t="s">
        <v>565</v>
      </c>
      <c r="C112" s="17">
        <v>1180</v>
      </c>
      <c r="D112" s="17">
        <v>1180</v>
      </c>
      <c r="E112" s="69" t="s">
        <v>405</v>
      </c>
      <c r="F112" s="26" t="s">
        <v>48</v>
      </c>
      <c r="G112" s="6" t="s">
        <v>734</v>
      </c>
      <c r="H112" s="8" t="s">
        <v>740</v>
      </c>
      <c r="I112" s="8" t="s">
        <v>744</v>
      </c>
      <c r="J112" s="8" t="s">
        <v>732</v>
      </c>
      <c r="K112" s="255" t="s">
        <v>745</v>
      </c>
      <c r="L112" s="255"/>
      <c r="M112" s="23">
        <v>0.01</v>
      </c>
      <c r="N112" s="8" t="s">
        <v>725</v>
      </c>
      <c r="O112" s="252"/>
      <c r="P112" s="260" t="s">
        <v>375</v>
      </c>
      <c r="Q112" s="260"/>
      <c r="R112" s="252"/>
      <c r="S112" s="34" t="s">
        <v>1235</v>
      </c>
      <c r="T112" s="21">
        <v>2.06E-2</v>
      </c>
      <c r="U112" s="21">
        <v>-5.9999999999999995E-4</v>
      </c>
      <c r="V112" s="252"/>
      <c r="W112" s="8" t="s">
        <v>739</v>
      </c>
      <c r="X112" s="8" t="s">
        <v>713</v>
      </c>
      <c r="Y112" s="8" t="s">
        <v>33</v>
      </c>
      <c r="Z112" s="10" t="s">
        <v>711</v>
      </c>
      <c r="AA112" s="32" t="s">
        <v>735</v>
      </c>
      <c r="AB112" s="7" t="s">
        <v>32</v>
      </c>
      <c r="AC112" s="256"/>
      <c r="AD112" s="257" t="s">
        <v>736</v>
      </c>
      <c r="AE112" s="257"/>
      <c r="AF112" s="257"/>
      <c r="AG112" s="257"/>
      <c r="AH112" s="257"/>
      <c r="AI112" s="257"/>
      <c r="AJ112" s="257"/>
      <c r="AK112" s="257"/>
      <c r="AL112" s="257"/>
      <c r="AM112" s="257"/>
      <c r="AN112" s="4"/>
      <c r="AO112" s="4"/>
      <c r="AP112" s="4"/>
      <c r="AQ112" s="4"/>
    </row>
    <row r="113" spans="1:43" ht="25.05" customHeight="1" x14ac:dyDescent="0.3">
      <c r="A113" s="320"/>
      <c r="B113" s="320"/>
      <c r="C113" s="320"/>
      <c r="D113" s="320"/>
      <c r="E113" s="320"/>
      <c r="F113" s="320"/>
      <c r="G113" s="320"/>
      <c r="H113" s="320"/>
      <c r="I113" s="320"/>
      <c r="J113" s="320"/>
      <c r="K113" s="320"/>
      <c r="L113" s="320"/>
      <c r="M113" s="320"/>
      <c r="N113" s="320"/>
      <c r="O113" s="320"/>
      <c r="P113" s="320"/>
      <c r="Q113" s="320"/>
      <c r="R113" s="320"/>
      <c r="S113" s="320"/>
      <c r="T113" s="320"/>
      <c r="U113" s="320"/>
      <c r="V113" s="320"/>
      <c r="W113" s="320"/>
      <c r="X113" s="320"/>
      <c r="Y113" s="320"/>
      <c r="Z113" s="320"/>
      <c r="AA113" s="320"/>
      <c r="AB113" s="320"/>
      <c r="AC113" s="320"/>
      <c r="AD113" s="320"/>
      <c r="AE113" s="320"/>
      <c r="AF113" s="320"/>
      <c r="AG113" s="320"/>
      <c r="AH113" s="320"/>
      <c r="AI113" s="320"/>
      <c r="AJ113" s="320"/>
      <c r="AK113" s="320"/>
      <c r="AL113" s="320"/>
      <c r="AM113" s="320"/>
      <c r="AN113" s="4"/>
      <c r="AO113" s="4"/>
      <c r="AP113" s="4"/>
      <c r="AQ113" s="4"/>
    </row>
    <row r="114" spans="1:43" ht="25.05" customHeight="1" x14ac:dyDescent="0.3">
      <c r="A114" s="321" t="s">
        <v>557</v>
      </c>
      <c r="B114" s="275" t="s">
        <v>653</v>
      </c>
      <c r="C114" s="275"/>
      <c r="D114" s="275"/>
      <c r="E114" s="275"/>
      <c r="F114" s="275"/>
      <c r="G114" s="275"/>
      <c r="H114" s="275"/>
      <c r="I114" s="275"/>
      <c r="J114" s="275"/>
      <c r="K114" s="275"/>
      <c r="L114" s="275"/>
      <c r="M114" s="275"/>
      <c r="N114" s="275"/>
      <c r="O114" s="275"/>
      <c r="P114" s="275"/>
      <c r="Q114" s="275"/>
      <c r="R114" s="275"/>
      <c r="S114" s="275"/>
      <c r="T114" s="275"/>
      <c r="U114" s="275"/>
      <c r="V114" s="275"/>
      <c r="W114" s="275"/>
      <c r="X114" s="275"/>
      <c r="Y114" s="275"/>
      <c r="Z114" s="275"/>
      <c r="AA114" s="275"/>
      <c r="AB114" s="275"/>
      <c r="AC114" s="275"/>
      <c r="AD114" s="275"/>
      <c r="AE114" s="275"/>
      <c r="AF114" s="275"/>
      <c r="AG114" s="275"/>
      <c r="AH114" s="275"/>
      <c r="AI114" s="275"/>
      <c r="AJ114" s="275"/>
      <c r="AK114" s="275"/>
      <c r="AL114" s="275"/>
      <c r="AM114" s="275"/>
      <c r="AN114" s="4"/>
      <c r="AO114" s="4"/>
      <c r="AP114" s="4"/>
      <c r="AQ114" s="4"/>
    </row>
    <row r="115" spans="1:43" ht="120" customHeight="1" x14ac:dyDescent="0.3">
      <c r="A115" s="321"/>
      <c r="B115" s="29" t="s">
        <v>567</v>
      </c>
      <c r="C115" s="43">
        <v>1770</v>
      </c>
      <c r="D115" s="17">
        <v>1770</v>
      </c>
      <c r="E115" s="69" t="s">
        <v>655</v>
      </c>
      <c r="F115" s="17" t="s">
        <v>443</v>
      </c>
      <c r="G115" s="152" t="s">
        <v>656</v>
      </c>
      <c r="H115" s="8" t="s">
        <v>657</v>
      </c>
      <c r="I115" s="21" t="s">
        <v>658</v>
      </c>
      <c r="J115" s="21">
        <v>0.01</v>
      </c>
      <c r="K115" s="252">
        <v>0.01</v>
      </c>
      <c r="L115" s="252"/>
      <c r="M115" s="252"/>
      <c r="N115" s="252"/>
      <c r="O115" s="252" t="s">
        <v>33</v>
      </c>
      <c r="P115" s="251">
        <v>0.01</v>
      </c>
      <c r="Q115" s="251"/>
      <c r="R115" s="28" t="s">
        <v>659</v>
      </c>
      <c r="S115" s="34" t="s">
        <v>1231</v>
      </c>
      <c r="T115" s="21">
        <v>4.1300000000000003E-2</v>
      </c>
      <c r="U115" s="21">
        <v>-3.1300000000000001E-2</v>
      </c>
      <c r="V115" s="35" t="s">
        <v>660</v>
      </c>
      <c r="W115" s="252" t="s">
        <v>33</v>
      </c>
      <c r="X115" s="252"/>
      <c r="Y115" s="252"/>
      <c r="Z115" s="252"/>
      <c r="AA115" s="32" t="s">
        <v>447</v>
      </c>
      <c r="AB115" s="7" t="s">
        <v>32</v>
      </c>
      <c r="AC115" s="256" t="s">
        <v>667</v>
      </c>
      <c r="AD115" s="257" t="s">
        <v>1108</v>
      </c>
      <c r="AE115" s="257"/>
      <c r="AF115" s="257"/>
      <c r="AG115" s="257"/>
      <c r="AH115" s="257"/>
      <c r="AI115" s="257"/>
      <c r="AJ115" s="257"/>
      <c r="AK115" s="257"/>
      <c r="AL115" s="257"/>
      <c r="AM115" s="257"/>
      <c r="AN115" s="4"/>
      <c r="AO115" s="4"/>
      <c r="AP115" s="4"/>
      <c r="AQ115" s="4"/>
    </row>
    <row r="116" spans="1:43" ht="120" customHeight="1" x14ac:dyDescent="0.3">
      <c r="A116" s="321"/>
      <c r="B116" s="29" t="s">
        <v>568</v>
      </c>
      <c r="C116" s="17">
        <v>3540</v>
      </c>
      <c r="D116" s="17">
        <v>3540</v>
      </c>
      <c r="E116" s="290" t="s">
        <v>33</v>
      </c>
      <c r="F116" s="17" t="s">
        <v>48</v>
      </c>
      <c r="G116" s="57" t="s">
        <v>661</v>
      </c>
      <c r="H116" s="8" t="s">
        <v>663</v>
      </c>
      <c r="I116" s="8" t="s">
        <v>662</v>
      </c>
      <c r="J116" s="39" t="s">
        <v>756</v>
      </c>
      <c r="K116" s="248">
        <v>5.0000000000000001E-3</v>
      </c>
      <c r="L116" s="249"/>
      <c r="M116" s="249"/>
      <c r="N116" s="250"/>
      <c r="O116" s="252"/>
      <c r="P116" s="251">
        <v>5.0000000000000001E-3</v>
      </c>
      <c r="Q116" s="251"/>
      <c r="R116" s="21">
        <v>0</v>
      </c>
      <c r="S116" s="34" t="s">
        <v>1234</v>
      </c>
      <c r="T116" s="28">
        <v>0</v>
      </c>
      <c r="U116" s="21" t="s">
        <v>664</v>
      </c>
      <c r="V116" s="21" t="s">
        <v>33</v>
      </c>
      <c r="W116" s="8" t="s">
        <v>90</v>
      </c>
      <c r="X116" s="8" t="s">
        <v>665</v>
      </c>
      <c r="Y116" s="8" t="s">
        <v>33</v>
      </c>
      <c r="Z116" s="42" t="s">
        <v>75</v>
      </c>
      <c r="AA116" s="24" t="s">
        <v>81</v>
      </c>
      <c r="AB116" s="7" t="s">
        <v>32</v>
      </c>
      <c r="AC116" s="256"/>
      <c r="AD116" s="257" t="s">
        <v>1107</v>
      </c>
      <c r="AE116" s="257"/>
      <c r="AF116" s="257"/>
      <c r="AG116" s="257"/>
      <c r="AH116" s="257"/>
      <c r="AI116" s="257"/>
      <c r="AJ116" s="257"/>
      <c r="AK116" s="257"/>
      <c r="AL116" s="257"/>
      <c r="AM116" s="257"/>
      <c r="AN116" s="4"/>
      <c r="AO116" s="4"/>
      <c r="AP116" s="4"/>
      <c r="AQ116" s="4"/>
    </row>
    <row r="117" spans="1:43" ht="120" customHeight="1" x14ac:dyDescent="0.3">
      <c r="A117" s="321"/>
      <c r="B117" s="24" t="s">
        <v>569</v>
      </c>
      <c r="C117" s="56" t="s">
        <v>139</v>
      </c>
      <c r="D117" s="56" t="s">
        <v>139</v>
      </c>
      <c r="E117" s="290"/>
      <c r="F117" s="17" t="s">
        <v>48</v>
      </c>
      <c r="G117" s="57" t="s">
        <v>666</v>
      </c>
      <c r="H117" s="8" t="s">
        <v>663</v>
      </c>
      <c r="I117" s="21">
        <v>2.5000000000000001E-3</v>
      </c>
      <c r="J117" s="21" t="s">
        <v>757</v>
      </c>
      <c r="K117" s="248">
        <v>2.5000000000000001E-3</v>
      </c>
      <c r="L117" s="249"/>
      <c r="M117" s="249"/>
      <c r="N117" s="250"/>
      <c r="O117" s="252"/>
      <c r="P117" s="34">
        <v>2.5000000000000001E-3</v>
      </c>
      <c r="Q117" s="70">
        <v>0.05</v>
      </c>
      <c r="R117" s="21">
        <v>0</v>
      </c>
      <c r="S117" s="34" t="s">
        <v>1233</v>
      </c>
      <c r="T117" s="21">
        <v>4.1300000000000003E-2</v>
      </c>
      <c r="U117" s="21">
        <v>-3.8800000000000001E-2</v>
      </c>
      <c r="V117" s="21">
        <v>2.5000000000000001E-3</v>
      </c>
      <c r="W117" s="252" t="s">
        <v>33</v>
      </c>
      <c r="X117" s="252"/>
      <c r="Y117" s="252"/>
      <c r="Z117" s="252"/>
      <c r="AA117" s="24" t="s">
        <v>3</v>
      </c>
      <c r="AB117" s="7" t="s">
        <v>32</v>
      </c>
      <c r="AC117" s="256"/>
      <c r="AD117" s="257" t="s">
        <v>668</v>
      </c>
      <c r="AE117" s="257"/>
      <c r="AF117" s="257"/>
      <c r="AG117" s="257"/>
      <c r="AH117" s="257"/>
      <c r="AI117" s="257"/>
      <c r="AJ117" s="257"/>
      <c r="AK117" s="257"/>
      <c r="AL117" s="257"/>
      <c r="AM117" s="257"/>
      <c r="AN117" s="4"/>
      <c r="AO117" s="4"/>
      <c r="AP117" s="4"/>
      <c r="AQ117" s="4"/>
    </row>
    <row r="118" spans="1:43" ht="25.05" customHeight="1" x14ac:dyDescent="0.3">
      <c r="A118" s="318"/>
      <c r="B118" s="318"/>
      <c r="C118" s="318"/>
      <c r="D118" s="318"/>
      <c r="E118" s="318"/>
      <c r="F118" s="318"/>
      <c r="G118" s="318"/>
      <c r="H118" s="318"/>
      <c r="I118" s="318"/>
      <c r="J118" s="318"/>
      <c r="K118" s="318"/>
      <c r="L118" s="318"/>
      <c r="M118" s="318"/>
      <c r="N118" s="318"/>
      <c r="O118" s="318"/>
      <c r="P118" s="318"/>
      <c r="Q118" s="318"/>
      <c r="R118" s="318"/>
      <c r="S118" s="318"/>
      <c r="T118" s="318"/>
      <c r="U118" s="318"/>
      <c r="V118" s="318"/>
      <c r="W118" s="318"/>
      <c r="X118" s="318"/>
      <c r="Y118" s="318"/>
      <c r="Z118" s="318"/>
      <c r="AA118" s="318"/>
      <c r="AB118" s="318"/>
      <c r="AC118" s="318"/>
      <c r="AD118" s="318"/>
      <c r="AE118" s="318"/>
      <c r="AF118" s="318"/>
      <c r="AG118" s="318"/>
      <c r="AH118" s="318"/>
      <c r="AI118" s="318"/>
      <c r="AJ118" s="318"/>
      <c r="AK118" s="318"/>
      <c r="AL118" s="318"/>
      <c r="AM118" s="318"/>
      <c r="AN118" s="4"/>
      <c r="AO118" s="4"/>
      <c r="AP118" s="4"/>
      <c r="AQ118" s="4"/>
    </row>
    <row r="119" spans="1:43" ht="25.05" customHeight="1" x14ac:dyDescent="0.3">
      <c r="A119" s="319" t="s">
        <v>558</v>
      </c>
      <c r="B119" s="275" t="s">
        <v>625</v>
      </c>
      <c r="C119" s="275"/>
      <c r="D119" s="275"/>
      <c r="E119" s="275"/>
      <c r="F119" s="275"/>
      <c r="G119" s="275"/>
      <c r="H119" s="275"/>
      <c r="I119" s="275"/>
      <c r="J119" s="275"/>
      <c r="K119" s="275"/>
      <c r="L119" s="275"/>
      <c r="M119" s="275"/>
      <c r="N119" s="275"/>
      <c r="O119" s="275"/>
      <c r="P119" s="275"/>
      <c r="Q119" s="275"/>
      <c r="R119" s="275"/>
      <c r="S119" s="275"/>
      <c r="T119" s="275"/>
      <c r="U119" s="275"/>
      <c r="V119" s="275"/>
      <c r="W119" s="275"/>
      <c r="X119" s="275"/>
      <c r="Y119" s="275"/>
      <c r="Z119" s="275"/>
      <c r="AA119" s="275"/>
      <c r="AB119" s="275"/>
      <c r="AC119" s="275"/>
      <c r="AD119" s="275"/>
      <c r="AE119" s="275"/>
      <c r="AF119" s="275"/>
      <c r="AG119" s="275"/>
      <c r="AH119" s="275"/>
      <c r="AI119" s="275"/>
      <c r="AJ119" s="275"/>
      <c r="AK119" s="275"/>
      <c r="AL119" s="275"/>
      <c r="AM119" s="275"/>
      <c r="AN119" s="4"/>
      <c r="AO119" s="4"/>
      <c r="AP119" s="4"/>
      <c r="AQ119" s="4"/>
    </row>
    <row r="120" spans="1:43" ht="150" customHeight="1" x14ac:dyDescent="0.3">
      <c r="A120" s="319"/>
      <c r="B120" s="231" t="s">
        <v>570</v>
      </c>
      <c r="C120" s="43">
        <v>590</v>
      </c>
      <c r="D120" s="17">
        <v>590</v>
      </c>
      <c r="E120" s="17">
        <v>1</v>
      </c>
      <c r="F120" s="26" t="s">
        <v>1</v>
      </c>
      <c r="G120" s="58" t="s">
        <v>626</v>
      </c>
      <c r="H120" s="8" t="s">
        <v>627</v>
      </c>
      <c r="I120" s="21" t="s">
        <v>628</v>
      </c>
      <c r="J120" s="21">
        <v>1.2500000000000001E-2</v>
      </c>
      <c r="K120" s="21" t="s">
        <v>629</v>
      </c>
      <c r="L120" s="252">
        <v>1.2500000000000001E-2</v>
      </c>
      <c r="M120" s="252"/>
      <c r="N120" s="252"/>
      <c r="O120" s="21" t="s">
        <v>630</v>
      </c>
      <c r="P120" s="34" t="s">
        <v>631</v>
      </c>
      <c r="Q120" s="34" t="s">
        <v>632</v>
      </c>
      <c r="R120" s="252">
        <v>0</v>
      </c>
      <c r="S120" s="34" t="s">
        <v>1232</v>
      </c>
      <c r="T120" s="21">
        <v>4.1300000000000003E-2</v>
      </c>
      <c r="U120" s="21">
        <v>-2.8799999999999999E-2</v>
      </c>
      <c r="V120" s="21" t="s">
        <v>633</v>
      </c>
      <c r="W120" s="8" t="s">
        <v>91</v>
      </c>
      <c r="X120" s="255" t="s">
        <v>33</v>
      </c>
      <c r="Y120" s="255"/>
      <c r="Z120" s="42" t="s">
        <v>75</v>
      </c>
      <c r="AA120" s="32" t="s">
        <v>634</v>
      </c>
      <c r="AB120" s="7" t="s">
        <v>32</v>
      </c>
      <c r="AC120" s="256" t="s">
        <v>33</v>
      </c>
      <c r="AD120" s="257" t="s">
        <v>635</v>
      </c>
      <c r="AE120" s="257"/>
      <c r="AF120" s="257"/>
      <c r="AG120" s="257"/>
      <c r="AH120" s="257"/>
      <c r="AI120" s="257"/>
      <c r="AJ120" s="257"/>
      <c r="AK120" s="257"/>
      <c r="AL120" s="257"/>
      <c r="AM120" s="257"/>
      <c r="AN120" s="4"/>
      <c r="AO120" s="4"/>
      <c r="AP120" s="4"/>
      <c r="AQ120" s="4"/>
    </row>
    <row r="121" spans="1:43" ht="150" customHeight="1" x14ac:dyDescent="0.3">
      <c r="A121" s="319"/>
      <c r="B121" s="231" t="s">
        <v>396</v>
      </c>
      <c r="C121" s="17">
        <v>180</v>
      </c>
      <c r="D121" s="17">
        <v>1180</v>
      </c>
      <c r="E121" s="17" t="s">
        <v>582</v>
      </c>
      <c r="F121" s="26" t="s">
        <v>480</v>
      </c>
      <c r="G121" s="57" t="s">
        <v>636</v>
      </c>
      <c r="H121" s="8" t="s">
        <v>72</v>
      </c>
      <c r="I121" s="21" t="s">
        <v>637</v>
      </c>
      <c r="J121" s="21">
        <v>0.02</v>
      </c>
      <c r="K121" s="252">
        <v>0.02</v>
      </c>
      <c r="L121" s="252"/>
      <c r="M121" s="252"/>
      <c r="N121" s="252"/>
      <c r="O121" s="252" t="s">
        <v>33</v>
      </c>
      <c r="P121" s="251">
        <v>0.03</v>
      </c>
      <c r="Q121" s="251"/>
      <c r="R121" s="252"/>
      <c r="S121" s="21">
        <v>0.01</v>
      </c>
      <c r="T121" s="21">
        <v>4.1300000000000003E-2</v>
      </c>
      <c r="U121" s="21">
        <v>-2.1299999999999999E-2</v>
      </c>
      <c r="V121" s="21" t="s">
        <v>33</v>
      </c>
      <c r="W121" s="8" t="s">
        <v>90</v>
      </c>
      <c r="X121" s="255"/>
      <c r="Y121" s="255"/>
      <c r="Z121" s="42" t="s">
        <v>75</v>
      </c>
      <c r="AA121" s="24" t="s">
        <v>638</v>
      </c>
      <c r="AB121" s="7" t="s">
        <v>32</v>
      </c>
      <c r="AC121" s="256"/>
      <c r="AD121" s="257" t="s">
        <v>639</v>
      </c>
      <c r="AE121" s="257"/>
      <c r="AF121" s="257"/>
      <c r="AG121" s="257"/>
      <c r="AH121" s="257"/>
      <c r="AI121" s="257"/>
      <c r="AJ121" s="257"/>
      <c r="AK121" s="257"/>
      <c r="AL121" s="257"/>
      <c r="AM121" s="257"/>
      <c r="AN121" s="4"/>
      <c r="AO121" s="4"/>
      <c r="AP121" s="4"/>
      <c r="AQ121" s="4"/>
    </row>
    <row r="122" spans="1:43" ht="150" customHeight="1" x14ac:dyDescent="0.3">
      <c r="A122" s="319"/>
      <c r="B122" s="24" t="s">
        <v>571</v>
      </c>
      <c r="C122" s="56">
        <v>530</v>
      </c>
      <c r="D122" s="56">
        <v>530</v>
      </c>
      <c r="E122" s="17">
        <v>50000</v>
      </c>
      <c r="F122" s="26" t="s">
        <v>642</v>
      </c>
      <c r="G122" s="57" t="s">
        <v>641</v>
      </c>
      <c r="H122" s="6" t="s">
        <v>640</v>
      </c>
      <c r="I122" s="21" t="s">
        <v>643</v>
      </c>
      <c r="J122" s="21">
        <v>5.0000000000000001E-3</v>
      </c>
      <c r="K122" s="252">
        <v>5.0000000000000001E-3</v>
      </c>
      <c r="L122" s="252"/>
      <c r="M122" s="252"/>
      <c r="N122" s="252"/>
      <c r="O122" s="252"/>
      <c r="P122" s="251">
        <v>0.02</v>
      </c>
      <c r="Q122" s="251"/>
      <c r="R122" s="21" t="s">
        <v>654</v>
      </c>
      <c r="S122" s="34" t="s">
        <v>1231</v>
      </c>
      <c r="T122" s="252">
        <v>4.1300000000000003E-2</v>
      </c>
      <c r="U122" s="21">
        <v>-3.6299999999999999E-2</v>
      </c>
      <c r="V122" s="21">
        <v>5.0000000000000001E-3</v>
      </c>
      <c r="W122" s="255" t="s">
        <v>33</v>
      </c>
      <c r="X122" s="255"/>
      <c r="Y122" s="255"/>
      <c r="Z122" s="255"/>
      <c r="AA122" s="24" t="s">
        <v>447</v>
      </c>
      <c r="AB122" s="7" t="s">
        <v>32</v>
      </c>
      <c r="AC122" s="256"/>
      <c r="AD122" s="257" t="s">
        <v>1160</v>
      </c>
      <c r="AE122" s="257"/>
      <c r="AF122" s="257"/>
      <c r="AG122" s="257"/>
      <c r="AH122" s="257"/>
      <c r="AI122" s="257"/>
      <c r="AJ122" s="257"/>
      <c r="AK122" s="257"/>
      <c r="AL122" s="257"/>
      <c r="AM122" s="257"/>
      <c r="AN122" s="4"/>
      <c r="AO122" s="4"/>
      <c r="AP122" s="4"/>
      <c r="AQ122" s="4"/>
    </row>
    <row r="123" spans="1:43" ht="150" customHeight="1" x14ac:dyDescent="0.3">
      <c r="A123" s="319"/>
      <c r="B123" s="231" t="s">
        <v>572</v>
      </c>
      <c r="C123" s="56" t="s">
        <v>139</v>
      </c>
      <c r="D123" s="56" t="s">
        <v>139</v>
      </c>
      <c r="E123" s="17" t="s">
        <v>33</v>
      </c>
      <c r="F123" s="26" t="s">
        <v>642</v>
      </c>
      <c r="G123" s="6" t="s">
        <v>646</v>
      </c>
      <c r="H123" s="8" t="s">
        <v>72</v>
      </c>
      <c r="I123" s="21" t="s">
        <v>644</v>
      </c>
      <c r="J123" s="21">
        <v>2.7000000000000001E-3</v>
      </c>
      <c r="K123" s="248">
        <v>2.7000000000000001E-3</v>
      </c>
      <c r="L123" s="249"/>
      <c r="M123" s="249"/>
      <c r="N123" s="250"/>
      <c r="O123" s="252"/>
      <c r="P123" s="251">
        <v>5.0000000000000001E-3</v>
      </c>
      <c r="Q123" s="251"/>
      <c r="R123" s="21">
        <v>0</v>
      </c>
      <c r="S123" s="34" t="s">
        <v>1230</v>
      </c>
      <c r="T123" s="252"/>
      <c r="U123" s="21">
        <v>-3.8600000000000002E-2</v>
      </c>
      <c r="V123" s="21">
        <v>2.7000000000000001E-3</v>
      </c>
      <c r="W123" s="255"/>
      <c r="X123" s="255"/>
      <c r="Y123" s="255"/>
      <c r="Z123" s="255"/>
      <c r="AA123" s="24" t="s">
        <v>440</v>
      </c>
      <c r="AB123" s="7" t="s">
        <v>32</v>
      </c>
      <c r="AC123" s="256"/>
      <c r="AD123" s="257" t="s">
        <v>645</v>
      </c>
      <c r="AE123" s="257"/>
      <c r="AF123" s="257"/>
      <c r="AG123" s="257"/>
      <c r="AH123" s="257"/>
      <c r="AI123" s="257"/>
      <c r="AJ123" s="257"/>
      <c r="AK123" s="257"/>
      <c r="AL123" s="257"/>
      <c r="AM123" s="257"/>
      <c r="AN123" s="4"/>
      <c r="AO123" s="4"/>
      <c r="AP123" s="4"/>
      <c r="AQ123" s="4"/>
    </row>
    <row r="124" spans="1:43" ht="150" customHeight="1" x14ac:dyDescent="0.3">
      <c r="A124" s="319"/>
      <c r="B124" s="231" t="s">
        <v>574</v>
      </c>
      <c r="C124" s="17">
        <v>1180</v>
      </c>
      <c r="D124" s="17">
        <v>1180</v>
      </c>
      <c r="E124" s="17" t="s">
        <v>592</v>
      </c>
      <c r="F124" s="26" t="s">
        <v>647</v>
      </c>
      <c r="G124" s="6" t="s">
        <v>648</v>
      </c>
      <c r="H124" s="8" t="s">
        <v>649</v>
      </c>
      <c r="I124" s="21" t="s">
        <v>650</v>
      </c>
      <c r="J124" s="21">
        <v>8.3000000000000001E-3</v>
      </c>
      <c r="K124" s="21">
        <v>1.67E-2</v>
      </c>
      <c r="L124" s="248">
        <v>8.3000000000000001E-3</v>
      </c>
      <c r="M124" s="249"/>
      <c r="N124" s="250"/>
      <c r="O124" s="252" t="s">
        <v>33</v>
      </c>
      <c r="P124" s="252">
        <v>8.3000000000000001E-3</v>
      </c>
      <c r="Q124" s="252"/>
      <c r="R124" s="252" t="s">
        <v>33</v>
      </c>
      <c r="S124" s="34" t="s">
        <v>1230</v>
      </c>
      <c r="T124" s="252"/>
      <c r="U124" s="21">
        <v>-3.3300000000000003E-2</v>
      </c>
      <c r="V124" s="252" t="s">
        <v>33</v>
      </c>
      <c r="W124" s="8" t="s">
        <v>90</v>
      </c>
      <c r="X124" s="8" t="s">
        <v>651</v>
      </c>
      <c r="Y124" s="255" t="s">
        <v>33</v>
      </c>
      <c r="Z124" s="286" t="s">
        <v>75</v>
      </c>
      <c r="AA124" s="24" t="s">
        <v>652</v>
      </c>
      <c r="AB124" s="7" t="s">
        <v>32</v>
      </c>
      <c r="AC124" s="256"/>
      <c r="AD124" s="257" t="s">
        <v>74</v>
      </c>
      <c r="AE124" s="257"/>
      <c r="AF124" s="257"/>
      <c r="AG124" s="257"/>
      <c r="AH124" s="257"/>
      <c r="AI124" s="257"/>
      <c r="AJ124" s="257"/>
      <c r="AK124" s="257"/>
      <c r="AL124" s="257"/>
      <c r="AM124" s="257"/>
      <c r="AN124" s="4"/>
      <c r="AO124" s="4"/>
      <c r="AP124" s="4"/>
      <c r="AQ124" s="4"/>
    </row>
    <row r="125" spans="1:43" ht="150" customHeight="1" x14ac:dyDescent="0.3">
      <c r="A125" s="319"/>
      <c r="B125" s="231" t="s">
        <v>576</v>
      </c>
      <c r="C125" s="17">
        <v>0</v>
      </c>
      <c r="D125" s="17" t="s">
        <v>680</v>
      </c>
      <c r="E125" s="17" t="s">
        <v>681</v>
      </c>
      <c r="F125" s="26" t="s">
        <v>642</v>
      </c>
      <c r="G125" s="6" t="s">
        <v>682</v>
      </c>
      <c r="H125" s="8" t="s">
        <v>692</v>
      </c>
      <c r="I125" s="21" t="s">
        <v>683</v>
      </c>
      <c r="J125" s="21">
        <v>5.0000000000000001E-3</v>
      </c>
      <c r="K125" s="21" t="s">
        <v>684</v>
      </c>
      <c r="L125" s="248">
        <v>5.0000000000000001E-3</v>
      </c>
      <c r="M125" s="249"/>
      <c r="N125" s="250"/>
      <c r="O125" s="252"/>
      <c r="P125" s="251">
        <v>1.2500000000000001E-2</v>
      </c>
      <c r="Q125" s="251"/>
      <c r="R125" s="252"/>
      <c r="S125" s="21">
        <v>0.01</v>
      </c>
      <c r="T125" s="21">
        <v>4.1300000000000003E-2</v>
      </c>
      <c r="U125" s="21">
        <v>-2.8799999999999999E-2</v>
      </c>
      <c r="V125" s="252"/>
      <c r="W125" s="8" t="s">
        <v>90</v>
      </c>
      <c r="X125" s="8" t="s">
        <v>685</v>
      </c>
      <c r="Y125" s="255"/>
      <c r="Z125" s="286"/>
      <c r="AA125" s="24" t="s">
        <v>686</v>
      </c>
      <c r="AB125" s="7" t="s">
        <v>32</v>
      </c>
      <c r="AC125" s="256"/>
      <c r="AD125" s="257" t="s">
        <v>687</v>
      </c>
      <c r="AE125" s="257"/>
      <c r="AF125" s="257"/>
      <c r="AG125" s="257"/>
      <c r="AH125" s="257"/>
      <c r="AI125" s="257"/>
      <c r="AJ125" s="257"/>
      <c r="AK125" s="257"/>
      <c r="AL125" s="257"/>
      <c r="AM125" s="257"/>
      <c r="AN125" s="4"/>
      <c r="AO125" s="4"/>
      <c r="AP125" s="4"/>
      <c r="AQ125" s="4"/>
    </row>
    <row r="126" spans="1:43" ht="150" customHeight="1" x14ac:dyDescent="0.3">
      <c r="A126" s="319"/>
      <c r="B126" s="231" t="s">
        <v>575</v>
      </c>
      <c r="C126" s="17">
        <v>14750</v>
      </c>
      <c r="D126" s="17">
        <v>14750</v>
      </c>
      <c r="E126" s="69" t="s">
        <v>688</v>
      </c>
      <c r="F126" s="262" t="s">
        <v>689</v>
      </c>
      <c r="G126" s="6" t="s">
        <v>690</v>
      </c>
      <c r="H126" s="255" t="s">
        <v>72</v>
      </c>
      <c r="I126" s="21" t="s">
        <v>691</v>
      </c>
      <c r="J126" s="21" t="s">
        <v>693</v>
      </c>
      <c r="K126" s="248" t="s">
        <v>694</v>
      </c>
      <c r="L126" s="249"/>
      <c r="M126" s="249"/>
      <c r="N126" s="249"/>
      <c r="O126" s="249"/>
      <c r="P126" s="249"/>
      <c r="Q126" s="250"/>
      <c r="R126" s="252"/>
      <c r="S126" s="21">
        <v>0.01</v>
      </c>
      <c r="T126" s="21">
        <v>2.3599999999999999E-2</v>
      </c>
      <c r="U126" s="21">
        <v>-3.5999999999999999E-3</v>
      </c>
      <c r="V126" s="252"/>
      <c r="W126" s="8" t="s">
        <v>134</v>
      </c>
      <c r="X126" s="8" t="s">
        <v>134</v>
      </c>
      <c r="Y126" s="255"/>
      <c r="Z126" s="286"/>
      <c r="AA126" s="324" t="s">
        <v>47</v>
      </c>
      <c r="AB126" s="7" t="s">
        <v>32</v>
      </c>
      <c r="AC126" s="256"/>
      <c r="AD126" s="257" t="s">
        <v>69</v>
      </c>
      <c r="AE126" s="257"/>
      <c r="AF126" s="257"/>
      <c r="AG126" s="257"/>
      <c r="AH126" s="257"/>
      <c r="AI126" s="257"/>
      <c r="AJ126" s="257"/>
      <c r="AK126" s="257"/>
      <c r="AL126" s="257"/>
      <c r="AM126" s="257"/>
      <c r="AN126" s="4"/>
      <c r="AO126" s="4"/>
      <c r="AP126" s="4"/>
      <c r="AQ126" s="4"/>
    </row>
    <row r="127" spans="1:43" ht="150" customHeight="1" x14ac:dyDescent="0.3">
      <c r="A127" s="319"/>
      <c r="B127" s="231" t="s">
        <v>573</v>
      </c>
      <c r="C127" s="43">
        <v>3540</v>
      </c>
      <c r="D127" s="17">
        <v>3540</v>
      </c>
      <c r="E127" s="17" t="s">
        <v>681</v>
      </c>
      <c r="F127" s="262"/>
      <c r="G127" s="6" t="s">
        <v>695</v>
      </c>
      <c r="H127" s="255"/>
      <c r="I127" s="21" t="s">
        <v>696</v>
      </c>
      <c r="J127" s="21" t="s">
        <v>693</v>
      </c>
      <c r="K127" s="248" t="s">
        <v>697</v>
      </c>
      <c r="L127" s="249"/>
      <c r="M127" s="249"/>
      <c r="N127" s="249"/>
      <c r="O127" s="249"/>
      <c r="P127" s="249"/>
      <c r="Q127" s="250"/>
      <c r="R127" s="252"/>
      <c r="S127" s="21">
        <v>0.01</v>
      </c>
      <c r="T127" s="252" t="s">
        <v>698</v>
      </c>
      <c r="U127" s="252"/>
      <c r="V127" s="252"/>
      <c r="W127" s="8" t="s">
        <v>90</v>
      </c>
      <c r="X127" s="8" t="s">
        <v>699</v>
      </c>
      <c r="Y127" s="255"/>
      <c r="Z127" s="286"/>
      <c r="AA127" s="324"/>
      <c r="AB127" s="7" t="s">
        <v>32</v>
      </c>
      <c r="AC127" s="256"/>
      <c r="AD127" s="257" t="s">
        <v>69</v>
      </c>
      <c r="AE127" s="257"/>
      <c r="AF127" s="257"/>
      <c r="AG127" s="257"/>
      <c r="AH127" s="257"/>
      <c r="AI127" s="257"/>
      <c r="AJ127" s="257"/>
      <c r="AK127" s="257"/>
      <c r="AL127" s="257"/>
      <c r="AM127" s="257"/>
      <c r="AN127" s="4"/>
      <c r="AO127" s="4"/>
      <c r="AP127" s="4"/>
      <c r="AQ127" s="4"/>
    </row>
    <row r="128" spans="1:43" ht="25.05" customHeight="1" x14ac:dyDescent="0.3">
      <c r="A128" s="317"/>
      <c r="B128" s="317"/>
      <c r="C128" s="317"/>
      <c r="D128" s="317"/>
      <c r="E128" s="317"/>
      <c r="F128" s="317"/>
      <c r="G128" s="317"/>
      <c r="H128" s="317"/>
      <c r="I128" s="317"/>
      <c r="J128" s="317"/>
      <c r="K128" s="317"/>
      <c r="L128" s="317"/>
      <c r="M128" s="317"/>
      <c r="N128" s="317"/>
      <c r="O128" s="317"/>
      <c r="P128" s="317"/>
      <c r="Q128" s="317"/>
      <c r="R128" s="317"/>
      <c r="S128" s="317"/>
      <c r="T128" s="317"/>
      <c r="U128" s="317"/>
      <c r="V128" s="317"/>
      <c r="W128" s="317"/>
      <c r="X128" s="317"/>
      <c r="Y128" s="317"/>
      <c r="Z128" s="317"/>
      <c r="AA128" s="317"/>
      <c r="AB128" s="317"/>
      <c r="AC128" s="317"/>
      <c r="AD128" s="317"/>
      <c r="AE128" s="317"/>
      <c r="AF128" s="317"/>
      <c r="AG128" s="317"/>
      <c r="AH128" s="317"/>
      <c r="AI128" s="317"/>
      <c r="AJ128" s="317"/>
      <c r="AK128" s="317"/>
      <c r="AL128" s="317"/>
      <c r="AM128" s="317"/>
      <c r="AN128" s="4"/>
      <c r="AO128" s="4"/>
      <c r="AP128" s="4"/>
      <c r="AQ128" s="4"/>
    </row>
    <row r="129" spans="1:43" ht="25.05" customHeight="1" x14ac:dyDescent="0.3">
      <c r="A129" s="305" t="s">
        <v>559</v>
      </c>
      <c r="B129" s="275" t="s">
        <v>603</v>
      </c>
      <c r="C129" s="275"/>
      <c r="D129" s="275"/>
      <c r="E129" s="275"/>
      <c r="F129" s="275"/>
      <c r="G129" s="275"/>
      <c r="H129" s="275"/>
      <c r="I129" s="275"/>
      <c r="J129" s="275"/>
      <c r="K129" s="275"/>
      <c r="L129" s="275"/>
      <c r="M129" s="275"/>
      <c r="N129" s="275"/>
      <c r="O129" s="275"/>
      <c r="P129" s="275"/>
      <c r="Q129" s="275"/>
      <c r="R129" s="275"/>
      <c r="S129" s="275"/>
      <c r="T129" s="275"/>
      <c r="U129" s="275"/>
      <c r="V129" s="275"/>
      <c r="W129" s="275"/>
      <c r="X129" s="275"/>
      <c r="Y129" s="275"/>
      <c r="Z129" s="275"/>
      <c r="AA129" s="275"/>
      <c r="AB129" s="275"/>
      <c r="AC129" s="275"/>
      <c r="AD129" s="275"/>
      <c r="AE129" s="275"/>
      <c r="AF129" s="275"/>
      <c r="AG129" s="275"/>
      <c r="AH129" s="275"/>
      <c r="AI129" s="275"/>
      <c r="AJ129" s="275"/>
      <c r="AK129" s="275"/>
      <c r="AL129" s="275"/>
      <c r="AM129" s="275"/>
      <c r="AN129" s="4"/>
      <c r="AO129" s="4"/>
      <c r="AP129" s="4"/>
      <c r="AQ129" s="4"/>
    </row>
    <row r="130" spans="1:43" s="5" customFormat="1" ht="120" customHeight="1" x14ac:dyDescent="0.3">
      <c r="A130" s="305"/>
      <c r="B130" s="29" t="s">
        <v>555</v>
      </c>
      <c r="C130" s="43" t="s">
        <v>587</v>
      </c>
      <c r="D130" s="17" t="s">
        <v>586</v>
      </c>
      <c r="E130" s="17" t="s">
        <v>582</v>
      </c>
      <c r="F130" s="26" t="s">
        <v>48</v>
      </c>
      <c r="G130" s="6" t="s">
        <v>599</v>
      </c>
      <c r="H130" s="255" t="s">
        <v>583</v>
      </c>
      <c r="I130" s="21">
        <v>7.4999999999999997E-3</v>
      </c>
      <c r="J130" s="23" t="s">
        <v>600</v>
      </c>
      <c r="K130" s="248">
        <v>2.5000000000000001E-3</v>
      </c>
      <c r="L130" s="249"/>
      <c r="M130" s="249"/>
      <c r="N130" s="250"/>
      <c r="O130" s="28" t="s">
        <v>595</v>
      </c>
      <c r="P130" s="260" t="s">
        <v>584</v>
      </c>
      <c r="Q130" s="34">
        <v>2.5000000000000001E-3</v>
      </c>
      <c r="R130" s="21">
        <v>0</v>
      </c>
      <c r="S130" s="8" t="s">
        <v>1229</v>
      </c>
      <c r="T130" s="21">
        <v>2.3599999999999999E-2</v>
      </c>
      <c r="U130" s="21">
        <v>-1.61E-2</v>
      </c>
      <c r="V130" s="252" t="s">
        <v>33</v>
      </c>
      <c r="W130" s="20" t="s">
        <v>110</v>
      </c>
      <c r="X130" s="20" t="s">
        <v>585</v>
      </c>
      <c r="Y130" s="8" t="s">
        <v>33</v>
      </c>
      <c r="Z130" s="286" t="s">
        <v>75</v>
      </c>
      <c r="AA130" s="324" t="s">
        <v>228</v>
      </c>
      <c r="AB130" s="7" t="s">
        <v>32</v>
      </c>
      <c r="AC130" s="256" t="s">
        <v>33</v>
      </c>
      <c r="AD130" s="258" t="s">
        <v>588</v>
      </c>
      <c r="AE130" s="257"/>
      <c r="AF130" s="257"/>
      <c r="AG130" s="257"/>
      <c r="AH130" s="257"/>
      <c r="AI130" s="257"/>
      <c r="AJ130" s="257"/>
      <c r="AK130" s="257"/>
      <c r="AL130" s="257"/>
      <c r="AM130" s="257"/>
      <c r="AN130" s="233"/>
      <c r="AO130" s="233"/>
      <c r="AP130" s="233"/>
      <c r="AQ130" s="233"/>
    </row>
    <row r="131" spans="1:43" ht="120" customHeight="1" x14ac:dyDescent="0.3">
      <c r="A131" s="305"/>
      <c r="B131" s="29" t="s">
        <v>577</v>
      </c>
      <c r="C131" s="43" t="s">
        <v>589</v>
      </c>
      <c r="D131" s="17" t="s">
        <v>590</v>
      </c>
      <c r="E131" s="17" t="s">
        <v>592</v>
      </c>
      <c r="F131" s="26" t="s">
        <v>48</v>
      </c>
      <c r="G131" s="58" t="s">
        <v>598</v>
      </c>
      <c r="H131" s="255"/>
      <c r="I131" s="21">
        <v>2E-3</v>
      </c>
      <c r="J131" s="23" t="s">
        <v>602</v>
      </c>
      <c r="K131" s="252">
        <v>2E-3</v>
      </c>
      <c r="L131" s="255"/>
      <c r="M131" s="255"/>
      <c r="N131" s="21">
        <v>4.0000000000000001E-3</v>
      </c>
      <c r="O131" s="28" t="s">
        <v>596</v>
      </c>
      <c r="P131" s="260"/>
      <c r="Q131" s="34">
        <v>2E-3</v>
      </c>
      <c r="R131" s="21">
        <v>6.0000000000000001E-3</v>
      </c>
      <c r="S131" s="8" t="s">
        <v>1229</v>
      </c>
      <c r="T131" s="21">
        <v>4.1300000000000003E-2</v>
      </c>
      <c r="U131" s="21">
        <v>-3.9300000000000002E-2</v>
      </c>
      <c r="V131" s="252"/>
      <c r="W131" s="20" t="s">
        <v>90</v>
      </c>
      <c r="X131" s="255" t="s">
        <v>33</v>
      </c>
      <c r="Y131" s="255"/>
      <c r="Z131" s="286"/>
      <c r="AA131" s="324"/>
      <c r="AB131" s="7" t="s">
        <v>32</v>
      </c>
      <c r="AC131" s="256"/>
      <c r="AD131" s="257" t="s">
        <v>69</v>
      </c>
      <c r="AE131" s="257"/>
      <c r="AF131" s="257"/>
      <c r="AG131" s="257"/>
      <c r="AH131" s="257"/>
      <c r="AI131" s="257"/>
      <c r="AJ131" s="257"/>
      <c r="AK131" s="257"/>
      <c r="AL131" s="257"/>
      <c r="AM131" s="257"/>
      <c r="AN131" s="4"/>
      <c r="AO131" s="4"/>
      <c r="AP131" s="4"/>
      <c r="AQ131" s="4"/>
    </row>
    <row r="132" spans="1:43" ht="120" customHeight="1" x14ac:dyDescent="0.3">
      <c r="A132" s="305"/>
      <c r="B132" s="29" t="s">
        <v>578</v>
      </c>
      <c r="C132" s="43" t="s">
        <v>591</v>
      </c>
      <c r="D132" s="17" t="s">
        <v>591</v>
      </c>
      <c r="E132" s="17" t="s">
        <v>593</v>
      </c>
      <c r="F132" s="26" t="s">
        <v>48</v>
      </c>
      <c r="G132" s="58" t="s">
        <v>597</v>
      </c>
      <c r="H132" s="255"/>
      <c r="I132" s="21">
        <v>1.6000000000000001E-3</v>
      </c>
      <c r="J132" s="23" t="s">
        <v>601</v>
      </c>
      <c r="K132" s="248">
        <v>1.6000000000000001E-3</v>
      </c>
      <c r="L132" s="249"/>
      <c r="M132" s="249"/>
      <c r="N132" s="250"/>
      <c r="O132" s="28" t="s">
        <v>594</v>
      </c>
      <c r="P132" s="260"/>
      <c r="Q132" s="34">
        <v>1.6000000000000001E-3</v>
      </c>
      <c r="R132" s="21">
        <v>1.6000000000000001E-3</v>
      </c>
      <c r="S132" s="8" t="s">
        <v>1228</v>
      </c>
      <c r="T132" s="21">
        <v>4.1300000000000003E-2</v>
      </c>
      <c r="U132" s="21">
        <v>-3.9699999999999999E-2</v>
      </c>
      <c r="V132" s="252"/>
      <c r="W132" s="20" t="s">
        <v>91</v>
      </c>
      <c r="X132" s="255"/>
      <c r="Y132" s="255"/>
      <c r="Z132" s="286"/>
      <c r="AA132" s="324"/>
      <c r="AB132" s="7" t="s">
        <v>32</v>
      </c>
      <c r="AC132" s="256"/>
      <c r="AD132" s="257"/>
      <c r="AE132" s="257"/>
      <c r="AF132" s="257"/>
      <c r="AG132" s="257"/>
      <c r="AH132" s="257"/>
      <c r="AI132" s="257"/>
      <c r="AJ132" s="257"/>
      <c r="AK132" s="257"/>
      <c r="AL132" s="257"/>
      <c r="AM132" s="257"/>
      <c r="AN132" s="4"/>
      <c r="AO132" s="4"/>
      <c r="AP132" s="4"/>
      <c r="AQ132" s="4"/>
    </row>
    <row r="133" spans="1:43" ht="25.05" customHeight="1" x14ac:dyDescent="0.3">
      <c r="A133" s="316"/>
      <c r="B133" s="316"/>
      <c r="C133" s="316"/>
      <c r="D133" s="316"/>
      <c r="E133" s="316"/>
      <c r="F133" s="316"/>
      <c r="G133" s="316"/>
      <c r="H133" s="316"/>
      <c r="I133" s="316"/>
      <c r="J133" s="316"/>
      <c r="K133" s="316"/>
      <c r="L133" s="316"/>
      <c r="M133" s="316"/>
      <c r="N133" s="316"/>
      <c r="O133" s="316"/>
      <c r="P133" s="316"/>
      <c r="Q133" s="316"/>
      <c r="R133" s="316"/>
      <c r="S133" s="316"/>
      <c r="T133" s="316"/>
      <c r="U133" s="316"/>
      <c r="V133" s="316"/>
      <c r="W133" s="316"/>
      <c r="X133" s="316"/>
      <c r="Y133" s="316"/>
      <c r="Z133" s="316"/>
      <c r="AA133" s="316"/>
      <c r="AB133" s="316"/>
      <c r="AC133" s="316"/>
      <c r="AD133" s="316"/>
      <c r="AE133" s="316"/>
      <c r="AF133" s="316"/>
      <c r="AG133" s="316"/>
      <c r="AH133" s="316"/>
      <c r="AI133" s="316"/>
      <c r="AJ133" s="316"/>
      <c r="AK133" s="316"/>
      <c r="AL133" s="316"/>
      <c r="AM133" s="316"/>
      <c r="AN133" s="4"/>
      <c r="AO133" s="4"/>
      <c r="AP133" s="4"/>
      <c r="AQ133" s="4"/>
    </row>
    <row r="134" spans="1:43" ht="25.05" customHeight="1" x14ac:dyDescent="0.3">
      <c r="A134" s="307" t="s">
        <v>560</v>
      </c>
      <c r="B134" s="275" t="s">
        <v>604</v>
      </c>
      <c r="C134" s="275"/>
      <c r="D134" s="275"/>
      <c r="E134" s="275"/>
      <c r="F134" s="275"/>
      <c r="G134" s="275"/>
      <c r="H134" s="275"/>
      <c r="I134" s="275"/>
      <c r="J134" s="275"/>
      <c r="K134" s="275"/>
      <c r="L134" s="275"/>
      <c r="M134" s="275"/>
      <c r="N134" s="275"/>
      <c r="O134" s="275"/>
      <c r="P134" s="275"/>
      <c r="Q134" s="275"/>
      <c r="R134" s="275"/>
      <c r="S134" s="275"/>
      <c r="T134" s="275"/>
      <c r="U134" s="275"/>
      <c r="V134" s="275"/>
      <c r="W134" s="275"/>
      <c r="X134" s="275"/>
      <c r="Y134" s="275"/>
      <c r="Z134" s="275"/>
      <c r="AA134" s="275"/>
      <c r="AB134" s="275"/>
      <c r="AC134" s="275"/>
      <c r="AD134" s="275"/>
      <c r="AE134" s="275"/>
      <c r="AF134" s="275"/>
      <c r="AG134" s="275"/>
      <c r="AH134" s="275"/>
      <c r="AI134" s="275"/>
      <c r="AJ134" s="275"/>
      <c r="AK134" s="275"/>
      <c r="AL134" s="275"/>
      <c r="AM134" s="275"/>
      <c r="AN134" s="4"/>
      <c r="AO134" s="4"/>
      <c r="AP134" s="4"/>
      <c r="AQ134" s="4"/>
    </row>
    <row r="135" spans="1:43" ht="105.6" customHeight="1" x14ac:dyDescent="0.3">
      <c r="A135" s="307"/>
      <c r="B135" s="29" t="s">
        <v>579</v>
      </c>
      <c r="C135" s="272" t="s">
        <v>139</v>
      </c>
      <c r="D135" s="272"/>
      <c r="E135" s="265" t="s">
        <v>33</v>
      </c>
      <c r="F135" s="61" t="s">
        <v>48</v>
      </c>
      <c r="G135" s="6" t="s">
        <v>611</v>
      </c>
      <c r="H135" s="6" t="s">
        <v>612</v>
      </c>
      <c r="I135" s="66" t="s">
        <v>614</v>
      </c>
      <c r="J135" s="67">
        <v>2E-3</v>
      </c>
      <c r="K135" s="264" t="s">
        <v>615</v>
      </c>
      <c r="L135" s="264"/>
      <c r="M135" s="264"/>
      <c r="N135" s="264"/>
      <c r="O135" s="264" t="s">
        <v>33</v>
      </c>
      <c r="P135" s="264" t="s">
        <v>615</v>
      </c>
      <c r="Q135" s="264"/>
      <c r="R135" s="264">
        <v>0</v>
      </c>
      <c r="S135" s="247" t="s">
        <v>1362</v>
      </c>
      <c r="T135" s="63">
        <v>1.18E-2</v>
      </c>
      <c r="U135" s="63">
        <v>-9.7999999999999997E-3</v>
      </c>
      <c r="V135" s="61" t="s">
        <v>33</v>
      </c>
      <c r="W135" s="265" t="s">
        <v>33</v>
      </c>
      <c r="X135" s="265"/>
      <c r="Y135" s="265"/>
      <c r="Z135" s="265"/>
      <c r="AA135" s="54" t="s">
        <v>228</v>
      </c>
      <c r="AB135" s="7" t="s">
        <v>32</v>
      </c>
      <c r="AC135" s="7" t="s">
        <v>32</v>
      </c>
      <c r="AD135" s="271" t="s">
        <v>69</v>
      </c>
      <c r="AE135" s="271"/>
      <c r="AF135" s="271"/>
      <c r="AG135" s="271"/>
      <c r="AH135" s="271"/>
      <c r="AI135" s="271"/>
      <c r="AJ135" s="271"/>
      <c r="AK135" s="271"/>
      <c r="AL135" s="271"/>
      <c r="AM135" s="271"/>
      <c r="AN135" s="4"/>
      <c r="AO135" s="4"/>
      <c r="AP135" s="4"/>
      <c r="AQ135" s="4"/>
    </row>
    <row r="136" spans="1:43" ht="108.6" customHeight="1" x14ac:dyDescent="0.3">
      <c r="A136" s="307"/>
      <c r="B136" s="62" t="s">
        <v>580</v>
      </c>
      <c r="C136" s="272"/>
      <c r="D136" s="272"/>
      <c r="E136" s="265"/>
      <c r="F136" s="61" t="s">
        <v>605</v>
      </c>
      <c r="G136" s="36" t="s">
        <v>607</v>
      </c>
      <c r="H136" s="6" t="s">
        <v>608</v>
      </c>
      <c r="I136" s="8" t="s">
        <v>609</v>
      </c>
      <c r="J136" s="63">
        <v>0.02</v>
      </c>
      <c r="K136" s="267">
        <v>0.02</v>
      </c>
      <c r="L136" s="267"/>
      <c r="M136" s="267"/>
      <c r="N136" s="267"/>
      <c r="O136" s="264"/>
      <c r="P136" s="264">
        <v>0.02</v>
      </c>
      <c r="Q136" s="264"/>
      <c r="R136" s="264"/>
      <c r="S136" s="247" t="s">
        <v>1363</v>
      </c>
      <c r="T136" s="63">
        <v>0</v>
      </c>
      <c r="U136" s="65">
        <v>0.02</v>
      </c>
      <c r="V136" s="64" t="s">
        <v>33</v>
      </c>
      <c r="W136" s="64" t="s">
        <v>134</v>
      </c>
      <c r="X136" s="265" t="s">
        <v>33</v>
      </c>
      <c r="Y136" s="265"/>
      <c r="Z136" s="10" t="s">
        <v>610</v>
      </c>
      <c r="AA136" s="32" t="s">
        <v>613</v>
      </c>
      <c r="AB136" s="7" t="s">
        <v>32</v>
      </c>
      <c r="AC136" s="265" t="s">
        <v>33</v>
      </c>
      <c r="AD136" s="257" t="s">
        <v>1109</v>
      </c>
      <c r="AE136" s="257"/>
      <c r="AF136" s="257"/>
      <c r="AG136" s="257"/>
      <c r="AH136" s="257"/>
      <c r="AI136" s="257"/>
      <c r="AJ136" s="257"/>
      <c r="AK136" s="257"/>
      <c r="AL136" s="257"/>
      <c r="AM136" s="257"/>
      <c r="AN136" s="4"/>
      <c r="AO136" s="4"/>
      <c r="AP136" s="4"/>
      <c r="AQ136" s="4"/>
    </row>
    <row r="137" spans="1:43" ht="227.4" customHeight="1" x14ac:dyDescent="0.3">
      <c r="A137" s="307"/>
      <c r="B137" s="29" t="s">
        <v>581</v>
      </c>
      <c r="C137" s="272"/>
      <c r="D137" s="272"/>
      <c r="E137" s="265"/>
      <c r="F137" s="61" t="s">
        <v>606</v>
      </c>
      <c r="G137" s="6" t="s">
        <v>616</v>
      </c>
      <c r="H137" s="8"/>
      <c r="I137" s="66" t="s">
        <v>617</v>
      </c>
      <c r="J137" s="252" t="s">
        <v>618</v>
      </c>
      <c r="K137" s="264"/>
      <c r="L137" s="264"/>
      <c r="M137" s="264"/>
      <c r="N137" s="63">
        <v>0</v>
      </c>
      <c r="O137" s="264"/>
      <c r="P137" s="252" t="s">
        <v>618</v>
      </c>
      <c r="Q137" s="264"/>
      <c r="R137" s="264"/>
      <c r="S137" s="63">
        <v>0.01</v>
      </c>
      <c r="T137" s="264">
        <v>4.1300000000000003E-2</v>
      </c>
      <c r="U137" s="61">
        <v>-3.63</v>
      </c>
      <c r="V137" s="20" t="s">
        <v>619</v>
      </c>
      <c r="W137" s="68" t="s">
        <v>620</v>
      </c>
      <c r="X137" s="265" t="s">
        <v>33</v>
      </c>
      <c r="Y137" s="265"/>
      <c r="Z137" s="265"/>
      <c r="AA137" s="266" t="s">
        <v>5</v>
      </c>
      <c r="AB137" s="7" t="s">
        <v>32</v>
      </c>
      <c r="AC137" s="265"/>
      <c r="AD137" s="255" t="s">
        <v>1227</v>
      </c>
      <c r="AE137" s="255"/>
      <c r="AF137" s="255"/>
      <c r="AG137" s="255"/>
      <c r="AH137" s="255"/>
      <c r="AI137" s="255"/>
      <c r="AJ137" s="255"/>
      <c r="AK137" s="255"/>
      <c r="AL137" s="255"/>
      <c r="AM137" s="255"/>
      <c r="AN137" s="4"/>
      <c r="AO137" s="4"/>
      <c r="AP137" s="4"/>
      <c r="AQ137" s="4"/>
    </row>
    <row r="138" spans="1:43" ht="105.6" customHeight="1" x14ac:dyDescent="0.3">
      <c r="A138" s="307"/>
      <c r="B138" s="29" t="s">
        <v>624</v>
      </c>
      <c r="C138" s="272"/>
      <c r="D138" s="272"/>
      <c r="E138" s="265"/>
      <c r="F138" s="61" t="s">
        <v>48</v>
      </c>
      <c r="G138" s="6" t="s">
        <v>1226</v>
      </c>
      <c r="H138" s="6" t="s">
        <v>622</v>
      </c>
      <c r="I138" s="21" t="s">
        <v>623</v>
      </c>
      <c r="J138" s="63">
        <v>4.0000000000000001E-3</v>
      </c>
      <c r="K138" s="268" t="s">
        <v>621</v>
      </c>
      <c r="L138" s="269"/>
      <c r="M138" s="269"/>
      <c r="N138" s="270"/>
      <c r="O138" s="264"/>
      <c r="P138" s="264" t="s">
        <v>621</v>
      </c>
      <c r="Q138" s="264"/>
      <c r="R138" s="264"/>
      <c r="S138" s="34" t="s">
        <v>1225</v>
      </c>
      <c r="T138" s="264"/>
      <c r="U138" s="63">
        <v>-3.73E-2</v>
      </c>
      <c r="V138" s="63">
        <v>4.0000000000000001E-3</v>
      </c>
      <c r="W138" s="265" t="s">
        <v>33</v>
      </c>
      <c r="X138" s="265"/>
      <c r="Y138" s="265"/>
      <c r="Z138" s="265"/>
      <c r="AA138" s="266"/>
      <c r="AB138" s="7" t="s">
        <v>32</v>
      </c>
      <c r="AC138" s="265"/>
      <c r="AD138" s="278" t="s">
        <v>69</v>
      </c>
      <c r="AE138" s="271"/>
      <c r="AF138" s="271"/>
      <c r="AG138" s="271"/>
      <c r="AH138" s="271"/>
      <c r="AI138" s="271"/>
      <c r="AJ138" s="271"/>
      <c r="AK138" s="271"/>
      <c r="AL138" s="271"/>
      <c r="AM138" s="271"/>
      <c r="AN138" s="4"/>
      <c r="AO138" s="4"/>
      <c r="AP138" s="4"/>
      <c r="AQ138" s="4"/>
    </row>
    <row r="139" spans="1:43" x14ac:dyDescent="0.3">
      <c r="A139" s="313"/>
      <c r="B139" s="313"/>
      <c r="C139" s="313"/>
      <c r="D139" s="313"/>
      <c r="E139" s="313"/>
      <c r="F139" s="313"/>
      <c r="G139" s="313"/>
      <c r="H139" s="313"/>
      <c r="I139" s="313"/>
      <c r="J139" s="313"/>
      <c r="K139" s="313"/>
      <c r="L139" s="313"/>
      <c r="M139" s="313"/>
      <c r="N139" s="313"/>
      <c r="O139" s="313"/>
      <c r="P139" s="313"/>
      <c r="Q139" s="313"/>
      <c r="R139" s="313"/>
      <c r="S139" s="313"/>
      <c r="T139" s="313"/>
      <c r="U139" s="313"/>
      <c r="V139" s="313"/>
      <c r="W139" s="313"/>
      <c r="X139" s="313"/>
      <c r="Y139" s="313"/>
      <c r="Z139" s="313"/>
      <c r="AA139" s="313"/>
      <c r="AB139" s="313"/>
      <c r="AC139" s="313"/>
      <c r="AD139" s="313"/>
      <c r="AE139" s="313"/>
      <c r="AF139" s="313"/>
      <c r="AG139" s="313"/>
      <c r="AH139" s="313"/>
      <c r="AI139" s="313"/>
      <c r="AJ139" s="313"/>
      <c r="AK139" s="313"/>
      <c r="AL139" s="313"/>
      <c r="AM139" s="313"/>
    </row>
    <row r="141" spans="1:43" x14ac:dyDescent="0.3">
      <c r="A141" s="322" t="s">
        <v>1157</v>
      </c>
      <c r="B141" s="322"/>
      <c r="C141" s="322"/>
      <c r="D141" s="322"/>
      <c r="E141" s="322"/>
      <c r="F141" s="322"/>
      <c r="G141" s="322"/>
      <c r="H141" s="322"/>
      <c r="I141" s="322"/>
      <c r="J141" s="322"/>
      <c r="K141" s="322"/>
      <c r="L141" s="322"/>
      <c r="M141" s="322"/>
      <c r="N141" s="322"/>
      <c r="O141" s="322"/>
      <c r="P141" s="322"/>
      <c r="Q141" s="322"/>
      <c r="R141" s="322"/>
      <c r="S141" s="322"/>
      <c r="T141" s="322"/>
      <c r="U141" s="322"/>
      <c r="V141" s="322"/>
      <c r="W141" s="322"/>
      <c r="X141" s="322"/>
      <c r="Y141" s="322"/>
      <c r="Z141" s="322"/>
      <c r="AA141" s="322"/>
      <c r="AB141" s="322"/>
      <c r="AC141" s="322"/>
      <c r="AD141" s="322"/>
      <c r="AE141" s="322"/>
      <c r="AF141" s="322"/>
      <c r="AG141" s="322"/>
      <c r="AH141" s="322"/>
      <c r="AI141" s="322"/>
      <c r="AJ141" s="322"/>
      <c r="AK141" s="322"/>
      <c r="AL141" s="322"/>
      <c r="AM141" s="322"/>
      <c r="AN141" s="322"/>
    </row>
    <row r="142" spans="1:43" x14ac:dyDescent="0.3">
      <c r="A142" s="322"/>
      <c r="B142" s="322"/>
      <c r="C142" s="322"/>
      <c r="D142" s="322"/>
      <c r="E142" s="322"/>
      <c r="F142" s="322"/>
      <c r="G142" s="322"/>
      <c r="H142" s="322"/>
      <c r="I142" s="322"/>
      <c r="J142" s="322"/>
      <c r="K142" s="322"/>
      <c r="L142" s="322"/>
      <c r="M142" s="322"/>
      <c r="N142" s="322"/>
      <c r="O142" s="322"/>
      <c r="P142" s="322"/>
      <c r="Q142" s="322"/>
      <c r="R142" s="322"/>
      <c r="S142" s="322"/>
      <c r="T142" s="322"/>
      <c r="U142" s="322"/>
      <c r="V142" s="322"/>
      <c r="W142" s="322"/>
      <c r="X142" s="322"/>
      <c r="Y142" s="322"/>
      <c r="Z142" s="322"/>
      <c r="AA142" s="322"/>
      <c r="AB142" s="322"/>
      <c r="AC142" s="322"/>
      <c r="AD142" s="322"/>
      <c r="AE142" s="322"/>
      <c r="AF142" s="322"/>
      <c r="AG142" s="322"/>
      <c r="AH142" s="322"/>
      <c r="AI142" s="322"/>
      <c r="AJ142" s="322"/>
      <c r="AK142" s="322"/>
      <c r="AL142" s="322"/>
      <c r="AM142" s="322"/>
      <c r="AN142" s="322"/>
    </row>
    <row r="143" spans="1:43" x14ac:dyDescent="0.3">
      <c r="A143" s="322"/>
      <c r="B143" s="322"/>
      <c r="C143" s="322"/>
      <c r="D143" s="322"/>
      <c r="E143" s="322"/>
      <c r="F143" s="322"/>
      <c r="G143" s="322"/>
      <c r="H143" s="322"/>
      <c r="I143" s="322"/>
      <c r="J143" s="322"/>
      <c r="K143" s="322"/>
      <c r="L143" s="322"/>
      <c r="M143" s="322"/>
      <c r="N143" s="322"/>
      <c r="O143" s="322"/>
      <c r="P143" s="322"/>
      <c r="Q143" s="322"/>
      <c r="R143" s="322"/>
      <c r="S143" s="322"/>
      <c r="T143" s="322"/>
      <c r="U143" s="322"/>
      <c r="V143" s="322"/>
      <c r="W143" s="322"/>
      <c r="X143" s="322"/>
      <c r="Y143" s="322"/>
      <c r="Z143" s="322"/>
      <c r="AA143" s="322"/>
      <c r="AB143" s="322"/>
      <c r="AC143" s="322"/>
      <c r="AD143" s="322"/>
      <c r="AE143" s="322"/>
      <c r="AF143" s="322"/>
      <c r="AG143" s="322"/>
      <c r="AH143" s="322"/>
      <c r="AI143" s="322"/>
      <c r="AJ143" s="322"/>
      <c r="AK143" s="322"/>
      <c r="AL143" s="322"/>
      <c r="AM143" s="322"/>
      <c r="AN143" s="322"/>
    </row>
    <row r="144" spans="1:43" x14ac:dyDescent="0.3">
      <c r="A144" s="322"/>
      <c r="B144" s="322"/>
      <c r="C144" s="322"/>
      <c r="D144" s="322"/>
      <c r="E144" s="322"/>
      <c r="F144" s="322"/>
      <c r="G144" s="322"/>
      <c r="H144" s="322"/>
      <c r="I144" s="322"/>
      <c r="J144" s="322"/>
      <c r="K144" s="322"/>
      <c r="L144" s="322"/>
      <c r="M144" s="322"/>
      <c r="N144" s="322"/>
      <c r="O144" s="322"/>
      <c r="P144" s="322"/>
      <c r="Q144" s="322"/>
      <c r="R144" s="322"/>
      <c r="S144" s="322"/>
      <c r="T144" s="322"/>
      <c r="U144" s="322"/>
      <c r="V144" s="322"/>
      <c r="W144" s="322"/>
      <c r="X144" s="322"/>
      <c r="Y144" s="322"/>
      <c r="Z144" s="322"/>
      <c r="AA144" s="322"/>
      <c r="AB144" s="322"/>
      <c r="AC144" s="322"/>
      <c r="AD144" s="322"/>
      <c r="AE144" s="322"/>
      <c r="AF144" s="322"/>
      <c r="AG144" s="322"/>
      <c r="AH144" s="322"/>
      <c r="AI144" s="322"/>
      <c r="AJ144" s="322"/>
      <c r="AK144" s="322"/>
      <c r="AL144" s="322"/>
      <c r="AM144" s="322"/>
      <c r="AN144" s="322"/>
    </row>
    <row r="145" spans="1:40" x14ac:dyDescent="0.3">
      <c r="A145" s="322"/>
      <c r="B145" s="322"/>
      <c r="C145" s="322"/>
      <c r="D145" s="322"/>
      <c r="E145" s="322"/>
      <c r="F145" s="322"/>
      <c r="G145" s="322"/>
      <c r="H145" s="322"/>
      <c r="I145" s="322"/>
      <c r="J145" s="322"/>
      <c r="K145" s="322"/>
      <c r="L145" s="322"/>
      <c r="M145" s="322"/>
      <c r="N145" s="322"/>
      <c r="O145" s="322"/>
      <c r="P145" s="322"/>
      <c r="Q145" s="322"/>
      <c r="R145" s="322"/>
      <c r="S145" s="322"/>
      <c r="T145" s="322"/>
      <c r="U145" s="322"/>
      <c r="V145" s="322"/>
      <c r="W145" s="322"/>
      <c r="X145" s="322"/>
      <c r="Y145" s="322"/>
      <c r="Z145" s="322"/>
      <c r="AA145" s="322"/>
      <c r="AB145" s="322"/>
      <c r="AC145" s="322"/>
      <c r="AD145" s="322"/>
      <c r="AE145" s="322"/>
      <c r="AF145" s="322"/>
      <c r="AG145" s="322"/>
      <c r="AH145" s="322"/>
      <c r="AI145" s="322"/>
      <c r="AJ145" s="322"/>
      <c r="AK145" s="322"/>
      <c r="AL145" s="322"/>
      <c r="AM145" s="322"/>
      <c r="AN145" s="322"/>
    </row>
    <row r="146" spans="1:40" x14ac:dyDescent="0.3">
      <c r="A146" s="322"/>
      <c r="B146" s="322"/>
      <c r="C146" s="322"/>
      <c r="D146" s="322"/>
      <c r="E146" s="322"/>
      <c r="F146" s="322"/>
      <c r="G146" s="322"/>
      <c r="H146" s="322"/>
      <c r="I146" s="322"/>
      <c r="J146" s="322"/>
      <c r="K146" s="322"/>
      <c r="L146" s="322"/>
      <c r="M146" s="322"/>
      <c r="N146" s="322"/>
      <c r="O146" s="322"/>
      <c r="P146" s="322"/>
      <c r="Q146" s="322"/>
      <c r="R146" s="322"/>
      <c r="S146" s="322"/>
      <c r="T146" s="322"/>
      <c r="U146" s="322"/>
      <c r="V146" s="322"/>
      <c r="W146" s="322"/>
      <c r="X146" s="322"/>
      <c r="Y146" s="322"/>
      <c r="Z146" s="322"/>
      <c r="AA146" s="322"/>
      <c r="AB146" s="322"/>
      <c r="AC146" s="322"/>
      <c r="AD146" s="322"/>
      <c r="AE146" s="322"/>
      <c r="AF146" s="322"/>
      <c r="AG146" s="322"/>
      <c r="AH146" s="322"/>
      <c r="AI146" s="322"/>
      <c r="AJ146" s="322"/>
      <c r="AK146" s="322"/>
      <c r="AL146" s="322"/>
      <c r="AM146" s="322"/>
      <c r="AN146" s="322"/>
    </row>
    <row r="147" spans="1:40" x14ac:dyDescent="0.3">
      <c r="A147" s="322"/>
      <c r="B147" s="322"/>
      <c r="C147" s="322"/>
      <c r="D147" s="322"/>
      <c r="E147" s="322"/>
      <c r="F147" s="322"/>
      <c r="G147" s="322"/>
      <c r="H147" s="322"/>
      <c r="I147" s="322"/>
      <c r="J147" s="322"/>
      <c r="K147" s="322"/>
      <c r="L147" s="322"/>
      <c r="M147" s="322"/>
      <c r="N147" s="322"/>
      <c r="O147" s="322"/>
      <c r="P147" s="322"/>
      <c r="Q147" s="322"/>
      <c r="R147" s="322"/>
      <c r="S147" s="322"/>
      <c r="T147" s="322"/>
      <c r="U147" s="322"/>
      <c r="V147" s="322"/>
      <c r="W147" s="322"/>
      <c r="X147" s="322"/>
      <c r="Y147" s="322"/>
      <c r="Z147" s="322"/>
      <c r="AA147" s="322"/>
      <c r="AB147" s="322"/>
      <c r="AC147" s="322"/>
      <c r="AD147" s="322"/>
      <c r="AE147" s="322"/>
      <c r="AF147" s="322"/>
      <c r="AG147" s="322"/>
      <c r="AH147" s="322"/>
      <c r="AI147" s="322"/>
      <c r="AJ147" s="322"/>
      <c r="AK147" s="322"/>
      <c r="AL147" s="322"/>
      <c r="AM147" s="322"/>
      <c r="AN147" s="322"/>
    </row>
    <row r="148" spans="1:40" x14ac:dyDescent="0.3">
      <c r="A148" s="322"/>
      <c r="B148" s="322"/>
      <c r="C148" s="322"/>
      <c r="D148" s="322"/>
      <c r="E148" s="322"/>
      <c r="F148" s="322"/>
      <c r="G148" s="322"/>
      <c r="H148" s="322"/>
      <c r="I148" s="322"/>
      <c r="J148" s="322"/>
      <c r="K148" s="322"/>
      <c r="L148" s="322"/>
      <c r="M148" s="322"/>
      <c r="N148" s="322"/>
      <c r="O148" s="322"/>
      <c r="P148" s="322"/>
      <c r="Q148" s="322"/>
      <c r="R148" s="322"/>
      <c r="S148" s="322"/>
      <c r="T148" s="322"/>
      <c r="U148" s="322"/>
      <c r="V148" s="322"/>
      <c r="W148" s="322"/>
      <c r="X148" s="322"/>
      <c r="Y148" s="322"/>
      <c r="Z148" s="322"/>
      <c r="AA148" s="322"/>
      <c r="AB148" s="322"/>
      <c r="AC148" s="322"/>
      <c r="AD148" s="322"/>
      <c r="AE148" s="322"/>
      <c r="AF148" s="322"/>
      <c r="AG148" s="322"/>
      <c r="AH148" s="322"/>
      <c r="AI148" s="322"/>
      <c r="AJ148" s="322"/>
      <c r="AK148" s="322"/>
      <c r="AL148" s="322"/>
      <c r="AM148" s="322"/>
      <c r="AN148" s="322"/>
    </row>
    <row r="149" spans="1:40" x14ac:dyDescent="0.3">
      <c r="A149" s="322"/>
      <c r="B149" s="322"/>
      <c r="C149" s="322"/>
      <c r="D149" s="322"/>
      <c r="E149" s="322"/>
      <c r="F149" s="322"/>
      <c r="G149" s="322"/>
      <c r="H149" s="322"/>
      <c r="I149" s="322"/>
      <c r="J149" s="322"/>
      <c r="K149" s="322"/>
      <c r="L149" s="322"/>
      <c r="M149" s="322"/>
      <c r="N149" s="322"/>
      <c r="O149" s="322"/>
      <c r="P149" s="322"/>
      <c r="Q149" s="322"/>
      <c r="R149" s="322"/>
      <c r="S149" s="322"/>
      <c r="T149" s="322"/>
      <c r="U149" s="322"/>
      <c r="V149" s="322"/>
      <c r="W149" s="322"/>
      <c r="X149" s="322"/>
      <c r="Y149" s="322"/>
      <c r="Z149" s="322"/>
      <c r="AA149" s="322"/>
      <c r="AB149" s="322"/>
      <c r="AC149" s="322"/>
      <c r="AD149" s="322"/>
      <c r="AE149" s="322"/>
      <c r="AF149" s="322"/>
      <c r="AG149" s="322"/>
      <c r="AH149" s="322"/>
      <c r="AI149" s="322"/>
      <c r="AJ149" s="322"/>
      <c r="AK149" s="322"/>
      <c r="AL149" s="322"/>
      <c r="AM149" s="322"/>
      <c r="AN149" s="322"/>
    </row>
    <row r="150" spans="1:40" x14ac:dyDescent="0.3">
      <c r="A150" s="322"/>
      <c r="B150" s="322"/>
      <c r="C150" s="322"/>
      <c r="D150" s="322"/>
      <c r="E150" s="322"/>
      <c r="F150" s="322"/>
      <c r="G150" s="322"/>
      <c r="H150" s="322"/>
      <c r="I150" s="322"/>
      <c r="J150" s="322"/>
      <c r="K150" s="322"/>
      <c r="L150" s="322"/>
      <c r="M150" s="322"/>
      <c r="N150" s="322"/>
      <c r="O150" s="322"/>
      <c r="P150" s="322"/>
      <c r="Q150" s="322"/>
      <c r="R150" s="322"/>
      <c r="S150" s="322"/>
      <c r="T150" s="322"/>
      <c r="U150" s="322"/>
      <c r="V150" s="322"/>
      <c r="W150" s="322"/>
      <c r="X150" s="322"/>
      <c r="Y150" s="322"/>
      <c r="Z150" s="322"/>
      <c r="AA150" s="322"/>
      <c r="AB150" s="322"/>
      <c r="AC150" s="322"/>
      <c r="AD150" s="322"/>
      <c r="AE150" s="322"/>
      <c r="AF150" s="322"/>
      <c r="AG150" s="322"/>
      <c r="AH150" s="322"/>
      <c r="AI150" s="322"/>
      <c r="AJ150" s="322"/>
      <c r="AK150" s="322"/>
      <c r="AL150" s="322"/>
      <c r="AM150" s="322"/>
      <c r="AN150" s="322"/>
    </row>
    <row r="151" spans="1:40" x14ac:dyDescent="0.3">
      <c r="A151" s="322"/>
      <c r="B151" s="322"/>
      <c r="C151" s="322"/>
      <c r="D151" s="322"/>
      <c r="E151" s="322"/>
      <c r="F151" s="322"/>
      <c r="G151" s="322"/>
      <c r="H151" s="322"/>
      <c r="I151" s="322"/>
      <c r="J151" s="322"/>
      <c r="K151" s="322"/>
      <c r="L151" s="322"/>
      <c r="M151" s="322"/>
      <c r="N151" s="322"/>
      <c r="O151" s="322"/>
      <c r="P151" s="322"/>
      <c r="Q151" s="322"/>
      <c r="R151" s="322"/>
      <c r="S151" s="322"/>
      <c r="T151" s="322"/>
      <c r="U151" s="322"/>
      <c r="V151" s="322"/>
      <c r="W151" s="322"/>
      <c r="X151" s="322"/>
      <c r="Y151" s="322"/>
      <c r="Z151" s="322"/>
      <c r="AA151" s="322"/>
      <c r="AB151" s="322"/>
      <c r="AC151" s="322"/>
      <c r="AD151" s="322"/>
      <c r="AE151" s="322"/>
      <c r="AF151" s="322"/>
      <c r="AG151" s="322"/>
      <c r="AH151" s="322"/>
      <c r="AI151" s="322"/>
      <c r="AJ151" s="322"/>
      <c r="AK151" s="322"/>
      <c r="AL151" s="322"/>
      <c r="AM151" s="322"/>
      <c r="AN151" s="322"/>
    </row>
    <row r="152" spans="1:40" x14ac:dyDescent="0.3">
      <c r="A152" s="322"/>
      <c r="B152" s="322"/>
      <c r="C152" s="322"/>
      <c r="D152" s="322"/>
      <c r="E152" s="322"/>
      <c r="F152" s="322"/>
      <c r="G152" s="322"/>
      <c r="H152" s="322"/>
      <c r="I152" s="322"/>
      <c r="J152" s="322"/>
      <c r="K152" s="322"/>
      <c r="L152" s="322"/>
      <c r="M152" s="322"/>
      <c r="N152" s="322"/>
      <c r="O152" s="322"/>
      <c r="P152" s="322"/>
      <c r="Q152" s="322"/>
      <c r="R152" s="322"/>
      <c r="S152" s="322"/>
      <c r="T152" s="322"/>
      <c r="U152" s="322"/>
      <c r="V152" s="322"/>
      <c r="W152" s="322"/>
      <c r="X152" s="322"/>
      <c r="Y152" s="322"/>
      <c r="Z152" s="322"/>
      <c r="AA152" s="322"/>
      <c r="AB152" s="322"/>
      <c r="AC152" s="322"/>
      <c r="AD152" s="322"/>
      <c r="AE152" s="322"/>
      <c r="AF152" s="322"/>
      <c r="AG152" s="322"/>
      <c r="AH152" s="322"/>
      <c r="AI152" s="322"/>
      <c r="AJ152" s="322"/>
      <c r="AK152" s="322"/>
      <c r="AL152" s="322"/>
      <c r="AM152" s="322"/>
      <c r="AN152" s="322"/>
    </row>
    <row r="153" spans="1:40" x14ac:dyDescent="0.3">
      <c r="A153" s="322"/>
      <c r="B153" s="322"/>
      <c r="C153" s="322"/>
      <c r="D153" s="322"/>
      <c r="E153" s="322"/>
      <c r="F153" s="322"/>
      <c r="G153" s="322"/>
      <c r="H153" s="322"/>
      <c r="I153" s="322"/>
      <c r="J153" s="322"/>
      <c r="K153" s="322"/>
      <c r="L153" s="322"/>
      <c r="M153" s="322"/>
      <c r="N153" s="322"/>
      <c r="O153" s="322"/>
      <c r="P153" s="322"/>
      <c r="Q153" s="322"/>
      <c r="R153" s="322"/>
      <c r="S153" s="322"/>
      <c r="T153" s="322"/>
      <c r="U153" s="322"/>
      <c r="V153" s="322"/>
      <c r="W153" s="322"/>
      <c r="X153" s="322"/>
      <c r="Y153" s="322"/>
      <c r="Z153" s="322"/>
      <c r="AA153" s="322"/>
      <c r="AB153" s="322"/>
      <c r="AC153" s="322"/>
      <c r="AD153" s="322"/>
      <c r="AE153" s="322"/>
      <c r="AF153" s="322"/>
      <c r="AG153" s="322"/>
      <c r="AH153" s="322"/>
      <c r="AI153" s="322"/>
      <c r="AJ153" s="322"/>
      <c r="AK153" s="322"/>
      <c r="AL153" s="322"/>
      <c r="AM153" s="322"/>
      <c r="AN153" s="322"/>
    </row>
    <row r="154" spans="1:40" x14ac:dyDescent="0.3">
      <c r="A154" s="322"/>
      <c r="B154" s="322"/>
      <c r="C154" s="322"/>
      <c r="D154" s="322"/>
      <c r="E154" s="322"/>
      <c r="F154" s="322"/>
      <c r="G154" s="322"/>
      <c r="H154" s="322"/>
      <c r="I154" s="322"/>
      <c r="J154" s="322"/>
      <c r="K154" s="322"/>
      <c r="L154" s="322"/>
      <c r="M154" s="322"/>
      <c r="N154" s="322"/>
      <c r="O154" s="322"/>
      <c r="P154" s="322"/>
      <c r="Q154" s="322"/>
      <c r="R154" s="322"/>
      <c r="S154" s="322"/>
      <c r="T154" s="322"/>
      <c r="U154" s="322"/>
      <c r="V154" s="322"/>
      <c r="W154" s="322"/>
      <c r="X154" s="322"/>
      <c r="Y154" s="322"/>
      <c r="Z154" s="322"/>
      <c r="AA154" s="322"/>
      <c r="AB154" s="322"/>
      <c r="AC154" s="322"/>
      <c r="AD154" s="322"/>
      <c r="AE154" s="322"/>
      <c r="AF154" s="322"/>
      <c r="AG154" s="322"/>
      <c r="AH154" s="322"/>
      <c r="AI154" s="322"/>
      <c r="AJ154" s="322"/>
      <c r="AK154" s="322"/>
      <c r="AL154" s="322"/>
      <c r="AM154" s="322"/>
      <c r="AN154" s="322"/>
    </row>
    <row r="155" spans="1:40" x14ac:dyDescent="0.3">
      <c r="A155" s="322"/>
      <c r="B155" s="322"/>
      <c r="C155" s="322"/>
      <c r="D155" s="322"/>
      <c r="E155" s="322"/>
      <c r="F155" s="322"/>
      <c r="G155" s="322"/>
      <c r="H155" s="322"/>
      <c r="I155" s="322"/>
      <c r="J155" s="322"/>
      <c r="K155" s="322"/>
      <c r="L155" s="322"/>
      <c r="M155" s="322"/>
      <c r="N155" s="322"/>
      <c r="O155" s="322"/>
      <c r="P155" s="322"/>
      <c r="Q155" s="322"/>
      <c r="R155" s="322"/>
      <c r="S155" s="322"/>
      <c r="T155" s="322"/>
      <c r="U155" s="322"/>
      <c r="V155" s="322"/>
      <c r="W155" s="322"/>
      <c r="X155" s="322"/>
      <c r="Y155" s="322"/>
      <c r="Z155" s="322"/>
      <c r="AA155" s="322"/>
      <c r="AB155" s="322"/>
      <c r="AC155" s="322"/>
      <c r="AD155" s="322"/>
      <c r="AE155" s="322"/>
      <c r="AF155" s="322"/>
      <c r="AG155" s="322"/>
      <c r="AH155" s="322"/>
      <c r="AI155" s="322"/>
      <c r="AJ155" s="322"/>
      <c r="AK155" s="322"/>
      <c r="AL155" s="322"/>
      <c r="AM155" s="322"/>
      <c r="AN155" s="322"/>
    </row>
    <row r="156" spans="1:40" x14ac:dyDescent="0.3">
      <c r="A156" s="322"/>
      <c r="B156" s="322"/>
      <c r="C156" s="322"/>
      <c r="D156" s="322"/>
      <c r="E156" s="322"/>
      <c r="F156" s="322"/>
      <c r="G156" s="322"/>
      <c r="H156" s="322"/>
      <c r="I156" s="322"/>
      <c r="J156" s="322"/>
      <c r="K156" s="322"/>
      <c r="L156" s="322"/>
      <c r="M156" s="322"/>
      <c r="N156" s="322"/>
      <c r="O156" s="322"/>
      <c r="P156" s="322"/>
      <c r="Q156" s="322"/>
      <c r="R156" s="322"/>
      <c r="S156" s="322"/>
      <c r="T156" s="322"/>
      <c r="U156" s="322"/>
      <c r="V156" s="322"/>
      <c r="W156" s="322"/>
      <c r="X156" s="322"/>
      <c r="Y156" s="322"/>
      <c r="Z156" s="322"/>
      <c r="AA156" s="322"/>
      <c r="AB156" s="322"/>
      <c r="AC156" s="322"/>
      <c r="AD156" s="322"/>
      <c r="AE156" s="322"/>
      <c r="AF156" s="322"/>
      <c r="AG156" s="322"/>
      <c r="AH156" s="322"/>
      <c r="AI156" s="322"/>
      <c r="AJ156" s="322"/>
      <c r="AK156" s="322"/>
      <c r="AL156" s="322"/>
      <c r="AM156" s="322"/>
      <c r="AN156" s="322"/>
    </row>
    <row r="157" spans="1:40" x14ac:dyDescent="0.3">
      <c r="A157" s="322"/>
      <c r="B157" s="322"/>
      <c r="C157" s="322"/>
      <c r="D157" s="322"/>
      <c r="E157" s="322"/>
      <c r="F157" s="322"/>
      <c r="G157" s="322"/>
      <c r="H157" s="322"/>
      <c r="I157" s="322"/>
      <c r="J157" s="322"/>
      <c r="K157" s="322"/>
      <c r="L157" s="322"/>
      <c r="M157" s="322"/>
      <c r="N157" s="322"/>
      <c r="O157" s="322"/>
      <c r="P157" s="322"/>
      <c r="Q157" s="322"/>
      <c r="R157" s="322"/>
      <c r="S157" s="322"/>
      <c r="T157" s="322"/>
      <c r="U157" s="322"/>
      <c r="V157" s="322"/>
      <c r="W157" s="322"/>
      <c r="X157" s="322"/>
      <c r="Y157" s="322"/>
      <c r="Z157" s="322"/>
      <c r="AA157" s="322"/>
      <c r="AB157" s="322"/>
      <c r="AC157" s="322"/>
      <c r="AD157" s="322"/>
      <c r="AE157" s="322"/>
      <c r="AF157" s="322"/>
      <c r="AG157" s="322"/>
      <c r="AH157" s="322"/>
      <c r="AI157" s="322"/>
      <c r="AJ157" s="322"/>
      <c r="AK157" s="322"/>
      <c r="AL157" s="322"/>
      <c r="AM157" s="322"/>
      <c r="AN157" s="322"/>
    </row>
    <row r="158" spans="1:40" x14ac:dyDescent="0.3">
      <c r="A158" s="322"/>
      <c r="B158" s="322"/>
      <c r="C158" s="322"/>
      <c r="D158" s="322"/>
      <c r="E158" s="322"/>
      <c r="F158" s="322"/>
      <c r="G158" s="322"/>
      <c r="H158" s="322"/>
      <c r="I158" s="322"/>
      <c r="J158" s="322"/>
      <c r="K158" s="322"/>
      <c r="L158" s="322"/>
      <c r="M158" s="322"/>
      <c r="N158" s="322"/>
      <c r="O158" s="322"/>
      <c r="P158" s="322"/>
      <c r="Q158" s="322"/>
      <c r="R158" s="322"/>
      <c r="S158" s="322"/>
      <c r="T158" s="322"/>
      <c r="U158" s="322"/>
      <c r="V158" s="322"/>
      <c r="W158" s="322"/>
      <c r="X158" s="322"/>
      <c r="Y158" s="322"/>
      <c r="Z158" s="322"/>
      <c r="AA158" s="322"/>
      <c r="AB158" s="322"/>
      <c r="AC158" s="322"/>
      <c r="AD158" s="322"/>
      <c r="AE158" s="322"/>
      <c r="AF158" s="322"/>
      <c r="AG158" s="322"/>
      <c r="AH158" s="322"/>
      <c r="AI158" s="322"/>
      <c r="AJ158" s="322"/>
      <c r="AK158" s="322"/>
      <c r="AL158" s="322"/>
      <c r="AM158" s="322"/>
      <c r="AN158" s="322"/>
    </row>
    <row r="159" spans="1:40" x14ac:dyDescent="0.3">
      <c r="A159" s="322"/>
      <c r="B159" s="322"/>
      <c r="C159" s="322"/>
      <c r="D159" s="322"/>
      <c r="E159" s="322"/>
      <c r="F159" s="322"/>
      <c r="G159" s="322"/>
      <c r="H159" s="322"/>
      <c r="I159" s="322"/>
      <c r="J159" s="322"/>
      <c r="K159" s="322"/>
      <c r="L159" s="322"/>
      <c r="M159" s="322"/>
      <c r="N159" s="322"/>
      <c r="O159" s="322"/>
      <c r="P159" s="322"/>
      <c r="Q159" s="322"/>
      <c r="R159" s="322"/>
      <c r="S159" s="322"/>
      <c r="T159" s="322"/>
      <c r="U159" s="322"/>
      <c r="V159" s="322"/>
      <c r="W159" s="322"/>
      <c r="X159" s="322"/>
      <c r="Y159" s="322"/>
      <c r="Z159" s="322"/>
      <c r="AA159" s="322"/>
      <c r="AB159" s="322"/>
      <c r="AC159" s="322"/>
      <c r="AD159" s="322"/>
      <c r="AE159" s="322"/>
      <c r="AF159" s="322"/>
      <c r="AG159" s="322"/>
      <c r="AH159" s="322"/>
      <c r="AI159" s="322"/>
      <c r="AJ159" s="322"/>
      <c r="AK159" s="322"/>
      <c r="AL159" s="322"/>
      <c r="AM159" s="322"/>
      <c r="AN159" s="322"/>
    </row>
    <row r="160" spans="1:40" x14ac:dyDescent="0.3">
      <c r="A160" s="322"/>
      <c r="B160" s="322"/>
      <c r="C160" s="322"/>
      <c r="D160" s="322"/>
      <c r="E160" s="322"/>
      <c r="F160" s="322"/>
      <c r="G160" s="322"/>
      <c r="H160" s="322"/>
      <c r="I160" s="322"/>
      <c r="J160" s="322"/>
      <c r="K160" s="322"/>
      <c r="L160" s="322"/>
      <c r="M160" s="322"/>
      <c r="N160" s="322"/>
      <c r="O160" s="322"/>
      <c r="P160" s="322"/>
      <c r="Q160" s="322"/>
      <c r="R160" s="322"/>
      <c r="S160" s="322"/>
      <c r="T160" s="322"/>
      <c r="U160" s="322"/>
      <c r="V160" s="322"/>
      <c r="W160" s="322"/>
      <c r="X160" s="322"/>
      <c r="Y160" s="322"/>
      <c r="Z160" s="322"/>
      <c r="AA160" s="322"/>
      <c r="AB160" s="322"/>
      <c r="AC160" s="322"/>
      <c r="AD160" s="322"/>
      <c r="AE160" s="322"/>
      <c r="AF160" s="322"/>
      <c r="AG160" s="322"/>
      <c r="AH160" s="322"/>
      <c r="AI160" s="322"/>
      <c r="AJ160" s="322"/>
      <c r="AK160" s="322"/>
      <c r="AL160" s="322"/>
      <c r="AM160" s="322"/>
      <c r="AN160" s="322"/>
    </row>
    <row r="161" spans="1:40" x14ac:dyDescent="0.3">
      <c r="A161" s="322"/>
      <c r="B161" s="322"/>
      <c r="C161" s="322"/>
      <c r="D161" s="322"/>
      <c r="E161" s="322"/>
      <c r="F161" s="322"/>
      <c r="G161" s="322"/>
      <c r="H161" s="322"/>
      <c r="I161" s="322"/>
      <c r="J161" s="322"/>
      <c r="K161" s="322"/>
      <c r="L161" s="322"/>
      <c r="M161" s="322"/>
      <c r="N161" s="322"/>
      <c r="O161" s="322"/>
      <c r="P161" s="322"/>
      <c r="Q161" s="322"/>
      <c r="R161" s="322"/>
      <c r="S161" s="322"/>
      <c r="T161" s="322"/>
      <c r="U161" s="322"/>
      <c r="V161" s="322"/>
      <c r="W161" s="322"/>
      <c r="X161" s="322"/>
      <c r="Y161" s="322"/>
      <c r="Z161" s="322"/>
      <c r="AA161" s="322"/>
      <c r="AB161" s="322"/>
      <c r="AC161" s="322"/>
      <c r="AD161" s="322"/>
      <c r="AE161" s="322"/>
      <c r="AF161" s="322"/>
      <c r="AG161" s="322"/>
      <c r="AH161" s="322"/>
      <c r="AI161" s="322"/>
      <c r="AJ161" s="322"/>
      <c r="AK161" s="322"/>
      <c r="AL161" s="322"/>
      <c r="AM161" s="322"/>
      <c r="AN161" s="322"/>
    </row>
    <row r="162" spans="1:40" x14ac:dyDescent="0.3">
      <c r="A162" s="322"/>
      <c r="B162" s="322"/>
      <c r="C162" s="322"/>
      <c r="D162" s="322"/>
      <c r="E162" s="322"/>
      <c r="F162" s="322"/>
      <c r="G162" s="322"/>
      <c r="H162" s="322"/>
      <c r="I162" s="322"/>
      <c r="J162" s="322"/>
      <c r="K162" s="322"/>
      <c r="L162" s="322"/>
      <c r="M162" s="322"/>
      <c r="N162" s="322"/>
      <c r="O162" s="322"/>
      <c r="P162" s="322"/>
      <c r="Q162" s="322"/>
      <c r="R162" s="322"/>
      <c r="S162" s="322"/>
      <c r="T162" s="322"/>
      <c r="U162" s="322"/>
      <c r="V162" s="322"/>
      <c r="W162" s="322"/>
      <c r="X162" s="322"/>
      <c r="Y162" s="322"/>
      <c r="Z162" s="322"/>
      <c r="AA162" s="322"/>
      <c r="AB162" s="322"/>
      <c r="AC162" s="322"/>
      <c r="AD162" s="322"/>
      <c r="AE162" s="322"/>
      <c r="AF162" s="322"/>
      <c r="AG162" s="322"/>
      <c r="AH162" s="322"/>
      <c r="AI162" s="322"/>
      <c r="AJ162" s="322"/>
      <c r="AK162" s="322"/>
      <c r="AL162" s="322"/>
      <c r="AM162" s="322"/>
      <c r="AN162" s="322"/>
    </row>
    <row r="163" spans="1:40" x14ac:dyDescent="0.3">
      <c r="A163" s="322"/>
      <c r="B163" s="322"/>
      <c r="C163" s="322"/>
      <c r="D163" s="322"/>
      <c r="E163" s="322"/>
      <c r="F163" s="322"/>
      <c r="G163" s="322"/>
      <c r="H163" s="322"/>
      <c r="I163" s="322"/>
      <c r="J163" s="322"/>
      <c r="K163" s="322"/>
      <c r="L163" s="322"/>
      <c r="M163" s="322"/>
      <c r="N163" s="322"/>
      <c r="O163" s="322"/>
      <c r="P163" s="322"/>
      <c r="Q163" s="322"/>
      <c r="R163" s="322"/>
      <c r="S163" s="322"/>
      <c r="T163" s="322"/>
      <c r="U163" s="322"/>
      <c r="V163" s="322"/>
      <c r="W163" s="322"/>
      <c r="X163" s="322"/>
      <c r="Y163" s="322"/>
      <c r="Z163" s="322"/>
      <c r="AA163" s="322"/>
      <c r="AB163" s="322"/>
      <c r="AC163" s="322"/>
      <c r="AD163" s="322"/>
      <c r="AE163" s="322"/>
      <c r="AF163" s="322"/>
      <c r="AG163" s="322"/>
      <c r="AH163" s="322"/>
      <c r="AI163" s="322"/>
      <c r="AJ163" s="322"/>
      <c r="AK163" s="322"/>
      <c r="AL163" s="322"/>
      <c r="AM163" s="322"/>
      <c r="AN163" s="322"/>
    </row>
    <row r="164" spans="1:40" x14ac:dyDescent="0.3">
      <c r="A164" s="322"/>
      <c r="B164" s="322"/>
      <c r="C164" s="322"/>
      <c r="D164" s="322"/>
      <c r="E164" s="322"/>
      <c r="F164" s="322"/>
      <c r="G164" s="322"/>
      <c r="H164" s="322"/>
      <c r="I164" s="322"/>
      <c r="J164" s="322"/>
      <c r="K164" s="322"/>
      <c r="L164" s="322"/>
      <c r="M164" s="322"/>
      <c r="N164" s="322"/>
      <c r="O164" s="322"/>
      <c r="P164" s="322"/>
      <c r="Q164" s="322"/>
      <c r="R164" s="322"/>
      <c r="S164" s="322"/>
      <c r="T164" s="322"/>
      <c r="U164" s="322"/>
      <c r="V164" s="322"/>
      <c r="W164" s="322"/>
      <c r="X164" s="322"/>
      <c r="Y164" s="322"/>
      <c r="Z164" s="322"/>
      <c r="AA164" s="322"/>
      <c r="AB164" s="322"/>
      <c r="AC164" s="322"/>
      <c r="AD164" s="322"/>
      <c r="AE164" s="322"/>
      <c r="AF164" s="322"/>
      <c r="AG164" s="322"/>
      <c r="AH164" s="322"/>
      <c r="AI164" s="322"/>
      <c r="AJ164" s="322"/>
      <c r="AK164" s="322"/>
      <c r="AL164" s="322"/>
      <c r="AM164" s="322"/>
      <c r="AN164" s="322"/>
    </row>
    <row r="165" spans="1:40" x14ac:dyDescent="0.3">
      <c r="A165" s="322"/>
      <c r="B165" s="322"/>
      <c r="C165" s="322"/>
      <c r="D165" s="322"/>
      <c r="E165" s="322"/>
      <c r="F165" s="322"/>
      <c r="G165" s="322"/>
      <c r="H165" s="322"/>
      <c r="I165" s="322"/>
      <c r="J165" s="322"/>
      <c r="K165" s="322"/>
      <c r="L165" s="322"/>
      <c r="M165" s="322"/>
      <c r="N165" s="322"/>
      <c r="O165" s="322"/>
      <c r="P165" s="322"/>
      <c r="Q165" s="322"/>
      <c r="R165" s="322"/>
      <c r="S165" s="322"/>
      <c r="T165" s="322"/>
      <c r="U165" s="322"/>
      <c r="V165" s="322"/>
      <c r="W165" s="322"/>
      <c r="X165" s="322"/>
      <c r="Y165" s="322"/>
      <c r="Z165" s="322"/>
      <c r="AA165" s="322"/>
      <c r="AB165" s="322"/>
      <c r="AC165" s="322"/>
      <c r="AD165" s="322"/>
      <c r="AE165" s="322"/>
      <c r="AF165" s="322"/>
      <c r="AG165" s="322"/>
      <c r="AH165" s="322"/>
      <c r="AI165" s="322"/>
      <c r="AJ165" s="322"/>
      <c r="AK165" s="322"/>
      <c r="AL165" s="322"/>
      <c r="AM165" s="322"/>
      <c r="AN165" s="322"/>
    </row>
    <row r="166" spans="1:40" x14ac:dyDescent="0.3">
      <c r="A166" s="322"/>
      <c r="B166" s="322"/>
      <c r="C166" s="322"/>
      <c r="D166" s="322"/>
      <c r="E166" s="322"/>
      <c r="F166" s="322"/>
      <c r="G166" s="322"/>
      <c r="H166" s="322"/>
      <c r="I166" s="322"/>
      <c r="J166" s="322"/>
      <c r="K166" s="322"/>
      <c r="L166" s="322"/>
      <c r="M166" s="322"/>
      <c r="N166" s="322"/>
      <c r="O166" s="322"/>
      <c r="P166" s="322"/>
      <c r="Q166" s="322"/>
      <c r="R166" s="322"/>
      <c r="S166" s="322"/>
      <c r="T166" s="322"/>
      <c r="U166" s="322"/>
      <c r="V166" s="322"/>
      <c r="W166" s="322"/>
      <c r="X166" s="322"/>
      <c r="Y166" s="322"/>
      <c r="Z166" s="322"/>
      <c r="AA166" s="322"/>
      <c r="AB166" s="322"/>
      <c r="AC166" s="322"/>
      <c r="AD166" s="322"/>
      <c r="AE166" s="322"/>
      <c r="AF166" s="322"/>
      <c r="AG166" s="322"/>
      <c r="AH166" s="322"/>
      <c r="AI166" s="322"/>
      <c r="AJ166" s="322"/>
      <c r="AK166" s="322"/>
      <c r="AL166" s="322"/>
      <c r="AM166" s="322"/>
      <c r="AN166" s="322"/>
    </row>
    <row r="167" spans="1:40" x14ac:dyDescent="0.3">
      <c r="A167" s="322"/>
      <c r="B167" s="322"/>
      <c r="C167" s="322"/>
      <c r="D167" s="322"/>
      <c r="E167" s="322"/>
      <c r="F167" s="322"/>
      <c r="G167" s="322"/>
      <c r="H167" s="322"/>
      <c r="I167" s="322"/>
      <c r="J167" s="322"/>
      <c r="K167" s="322"/>
      <c r="L167" s="322"/>
      <c r="M167" s="322"/>
      <c r="N167" s="322"/>
      <c r="O167" s="322"/>
      <c r="P167" s="322"/>
      <c r="Q167" s="322"/>
      <c r="R167" s="322"/>
      <c r="S167" s="322"/>
      <c r="T167" s="322"/>
      <c r="U167" s="322"/>
      <c r="V167" s="322"/>
      <c r="W167" s="322"/>
      <c r="X167" s="322"/>
      <c r="Y167" s="322"/>
      <c r="Z167" s="322"/>
      <c r="AA167" s="322"/>
      <c r="AB167" s="322"/>
      <c r="AC167" s="322"/>
      <c r="AD167" s="322"/>
      <c r="AE167" s="322"/>
      <c r="AF167" s="322"/>
      <c r="AG167" s="322"/>
      <c r="AH167" s="322"/>
      <c r="AI167" s="322"/>
      <c r="AJ167" s="322"/>
      <c r="AK167" s="322"/>
      <c r="AL167" s="322"/>
      <c r="AM167" s="322"/>
      <c r="AN167" s="322"/>
    </row>
    <row r="168" spans="1:40" x14ac:dyDescent="0.3">
      <c r="A168" s="322"/>
      <c r="B168" s="322"/>
      <c r="C168" s="322"/>
      <c r="D168" s="322"/>
      <c r="E168" s="322"/>
      <c r="F168" s="322"/>
      <c r="G168" s="322"/>
      <c r="H168" s="322"/>
      <c r="I168" s="322"/>
      <c r="J168" s="322"/>
      <c r="K168" s="322"/>
      <c r="L168" s="322"/>
      <c r="M168" s="322"/>
      <c r="N168" s="322"/>
      <c r="O168" s="322"/>
      <c r="P168" s="322"/>
      <c r="Q168" s="322"/>
      <c r="R168" s="322"/>
      <c r="S168" s="322"/>
      <c r="T168" s="322"/>
      <c r="U168" s="322"/>
      <c r="V168" s="322"/>
      <c r="W168" s="322"/>
      <c r="X168" s="322"/>
      <c r="Y168" s="322"/>
      <c r="Z168" s="322"/>
      <c r="AA168" s="322"/>
      <c r="AB168" s="322"/>
      <c r="AC168" s="322"/>
      <c r="AD168" s="322"/>
      <c r="AE168" s="322"/>
      <c r="AF168" s="322"/>
      <c r="AG168" s="322"/>
      <c r="AH168" s="322"/>
      <c r="AI168" s="322"/>
      <c r="AJ168" s="322"/>
      <c r="AK168" s="322"/>
      <c r="AL168" s="322"/>
      <c r="AM168" s="322"/>
      <c r="AN168" s="322"/>
    </row>
    <row r="169" spans="1:40" x14ac:dyDescent="0.3">
      <c r="A169" s="322"/>
      <c r="B169" s="322"/>
      <c r="C169" s="322"/>
      <c r="D169" s="322"/>
      <c r="E169" s="322"/>
      <c r="F169" s="322"/>
      <c r="G169" s="322"/>
      <c r="H169" s="322"/>
      <c r="I169" s="322"/>
      <c r="J169" s="322"/>
      <c r="K169" s="322"/>
      <c r="L169" s="322"/>
      <c r="M169" s="322"/>
      <c r="N169" s="322"/>
      <c r="O169" s="322"/>
      <c r="P169" s="322"/>
      <c r="Q169" s="322"/>
      <c r="R169" s="322"/>
      <c r="S169" s="322"/>
      <c r="T169" s="322"/>
      <c r="U169" s="322"/>
      <c r="V169" s="322"/>
      <c r="W169" s="322"/>
      <c r="X169" s="322"/>
      <c r="Y169" s="322"/>
      <c r="Z169" s="322"/>
      <c r="AA169" s="322"/>
      <c r="AB169" s="322"/>
      <c r="AC169" s="322"/>
      <c r="AD169" s="322"/>
      <c r="AE169" s="322"/>
      <c r="AF169" s="322"/>
      <c r="AG169" s="322"/>
      <c r="AH169" s="322"/>
      <c r="AI169" s="322"/>
      <c r="AJ169" s="322"/>
      <c r="AK169" s="322"/>
      <c r="AL169" s="322"/>
      <c r="AM169" s="322"/>
      <c r="AN169" s="322"/>
    </row>
    <row r="170" spans="1:40" x14ac:dyDescent="0.3">
      <c r="A170" s="322"/>
      <c r="B170" s="322"/>
      <c r="C170" s="322"/>
      <c r="D170" s="322"/>
      <c r="E170" s="322"/>
      <c r="F170" s="322"/>
      <c r="G170" s="322"/>
      <c r="H170" s="322"/>
      <c r="I170" s="322"/>
      <c r="J170" s="322"/>
      <c r="K170" s="322"/>
      <c r="L170" s="322"/>
      <c r="M170" s="322"/>
      <c r="N170" s="322"/>
      <c r="O170" s="322"/>
      <c r="P170" s="322"/>
      <c r="Q170" s="322"/>
      <c r="R170" s="322"/>
      <c r="S170" s="322"/>
      <c r="T170" s="322"/>
      <c r="U170" s="322"/>
      <c r="V170" s="322"/>
      <c r="W170" s="322"/>
      <c r="X170" s="322"/>
      <c r="Y170" s="322"/>
      <c r="Z170" s="322"/>
      <c r="AA170" s="322"/>
      <c r="AB170" s="322"/>
      <c r="AC170" s="322"/>
      <c r="AD170" s="322"/>
      <c r="AE170" s="322"/>
      <c r="AF170" s="322"/>
      <c r="AG170" s="322"/>
      <c r="AH170" s="322"/>
      <c r="AI170" s="322"/>
      <c r="AJ170" s="322"/>
      <c r="AK170" s="322"/>
      <c r="AL170" s="322"/>
      <c r="AM170" s="322"/>
      <c r="AN170" s="322"/>
    </row>
    <row r="171" spans="1:40" x14ac:dyDescent="0.3">
      <c r="A171" s="322"/>
      <c r="B171" s="322"/>
      <c r="C171" s="322"/>
      <c r="D171" s="322"/>
      <c r="E171" s="322"/>
      <c r="F171" s="322"/>
      <c r="G171" s="322"/>
      <c r="H171" s="322"/>
      <c r="I171" s="322"/>
      <c r="J171" s="322"/>
      <c r="K171" s="322"/>
      <c r="L171" s="322"/>
      <c r="M171" s="322"/>
      <c r="N171" s="322"/>
      <c r="O171" s="322"/>
      <c r="P171" s="322"/>
      <c r="Q171" s="322"/>
      <c r="R171" s="322"/>
      <c r="S171" s="322"/>
      <c r="T171" s="322"/>
      <c r="U171" s="322"/>
      <c r="V171" s="322"/>
      <c r="W171" s="322"/>
      <c r="X171" s="322"/>
      <c r="Y171" s="322"/>
      <c r="Z171" s="322"/>
      <c r="AA171" s="322"/>
      <c r="AB171" s="322"/>
      <c r="AC171" s="322"/>
      <c r="AD171" s="322"/>
      <c r="AE171" s="322"/>
      <c r="AF171" s="322"/>
      <c r="AG171" s="322"/>
      <c r="AH171" s="322"/>
      <c r="AI171" s="322"/>
      <c r="AJ171" s="322"/>
      <c r="AK171" s="322"/>
      <c r="AL171" s="322"/>
      <c r="AM171" s="322"/>
      <c r="AN171" s="322"/>
    </row>
    <row r="172" spans="1:40" x14ac:dyDescent="0.3">
      <c r="A172" s="322"/>
      <c r="B172" s="322"/>
      <c r="C172" s="322"/>
      <c r="D172" s="322"/>
      <c r="E172" s="322"/>
      <c r="F172" s="322"/>
      <c r="G172" s="322"/>
      <c r="H172" s="322"/>
      <c r="I172" s="322"/>
      <c r="J172" s="322"/>
      <c r="K172" s="322"/>
      <c r="L172" s="322"/>
      <c r="M172" s="322"/>
      <c r="N172" s="322"/>
      <c r="O172" s="322"/>
      <c r="P172" s="322"/>
      <c r="Q172" s="322"/>
      <c r="R172" s="322"/>
      <c r="S172" s="322"/>
      <c r="T172" s="322"/>
      <c r="U172" s="322"/>
      <c r="V172" s="322"/>
      <c r="W172" s="322"/>
      <c r="X172" s="322"/>
      <c r="Y172" s="322"/>
      <c r="Z172" s="322"/>
      <c r="AA172" s="322"/>
      <c r="AB172" s="322"/>
      <c r="AC172" s="322"/>
      <c r="AD172" s="322"/>
      <c r="AE172" s="322"/>
      <c r="AF172" s="322"/>
      <c r="AG172" s="322"/>
      <c r="AH172" s="322"/>
      <c r="AI172" s="322"/>
      <c r="AJ172" s="322"/>
      <c r="AK172" s="322"/>
      <c r="AL172" s="322"/>
      <c r="AM172" s="322"/>
      <c r="AN172" s="322"/>
    </row>
    <row r="173" spans="1:40" x14ac:dyDescent="0.3">
      <c r="A173" s="322"/>
      <c r="B173" s="322"/>
      <c r="C173" s="322"/>
      <c r="D173" s="322"/>
      <c r="E173" s="322"/>
      <c r="F173" s="322"/>
      <c r="G173" s="322"/>
      <c r="H173" s="322"/>
      <c r="I173" s="322"/>
      <c r="J173" s="322"/>
      <c r="K173" s="322"/>
      <c r="L173" s="322"/>
      <c r="M173" s="322"/>
      <c r="N173" s="322"/>
      <c r="O173" s="322"/>
      <c r="P173" s="322"/>
      <c r="Q173" s="322"/>
      <c r="R173" s="322"/>
      <c r="S173" s="322"/>
      <c r="T173" s="322"/>
      <c r="U173" s="322"/>
      <c r="V173" s="322"/>
      <c r="W173" s="322"/>
      <c r="X173" s="322"/>
      <c r="Y173" s="322"/>
      <c r="Z173" s="322"/>
      <c r="AA173" s="322"/>
      <c r="AB173" s="322"/>
      <c r="AC173" s="322"/>
      <c r="AD173" s="322"/>
      <c r="AE173" s="322"/>
      <c r="AF173" s="322"/>
      <c r="AG173" s="322"/>
      <c r="AH173" s="322"/>
      <c r="AI173" s="322"/>
      <c r="AJ173" s="322"/>
      <c r="AK173" s="322"/>
      <c r="AL173" s="322"/>
      <c r="AM173" s="322"/>
      <c r="AN173" s="322"/>
    </row>
    <row r="174" spans="1:40" x14ac:dyDescent="0.3">
      <c r="A174" s="322"/>
      <c r="B174" s="322"/>
      <c r="C174" s="322"/>
      <c r="D174" s="322"/>
      <c r="E174" s="322"/>
      <c r="F174" s="322"/>
      <c r="G174" s="322"/>
      <c r="H174" s="322"/>
      <c r="I174" s="322"/>
      <c r="J174" s="322"/>
      <c r="K174" s="322"/>
      <c r="L174" s="322"/>
      <c r="M174" s="322"/>
      <c r="N174" s="322"/>
      <c r="O174" s="322"/>
      <c r="P174" s="322"/>
      <c r="Q174" s="322"/>
      <c r="R174" s="322"/>
      <c r="S174" s="322"/>
      <c r="T174" s="322"/>
      <c r="U174" s="322"/>
      <c r="V174" s="322"/>
      <c r="W174" s="322"/>
      <c r="X174" s="322"/>
      <c r="Y174" s="322"/>
      <c r="Z174" s="322"/>
      <c r="AA174" s="322"/>
      <c r="AB174" s="322"/>
      <c r="AC174" s="322"/>
      <c r="AD174" s="322"/>
      <c r="AE174" s="322"/>
      <c r="AF174" s="322"/>
      <c r="AG174" s="322"/>
      <c r="AH174" s="322"/>
      <c r="AI174" s="322"/>
      <c r="AJ174" s="322"/>
      <c r="AK174" s="322"/>
      <c r="AL174" s="322"/>
      <c r="AM174" s="322"/>
      <c r="AN174" s="322"/>
    </row>
    <row r="175" spans="1:40" x14ac:dyDescent="0.3">
      <c r="A175" s="322"/>
      <c r="B175" s="322"/>
      <c r="C175" s="322"/>
      <c r="D175" s="322"/>
      <c r="E175" s="322"/>
      <c r="F175" s="322"/>
      <c r="G175" s="322"/>
      <c r="H175" s="322"/>
      <c r="I175" s="322"/>
      <c r="J175" s="322"/>
      <c r="K175" s="322"/>
      <c r="L175" s="322"/>
      <c r="M175" s="322"/>
      <c r="N175" s="322"/>
      <c r="O175" s="322"/>
      <c r="P175" s="322"/>
      <c r="Q175" s="322"/>
      <c r="R175" s="322"/>
      <c r="S175" s="322"/>
      <c r="T175" s="322"/>
      <c r="U175" s="322"/>
      <c r="V175" s="322"/>
      <c r="W175" s="322"/>
      <c r="X175" s="322"/>
      <c r="Y175" s="322"/>
      <c r="Z175" s="322"/>
      <c r="AA175" s="322"/>
      <c r="AB175" s="322"/>
      <c r="AC175" s="322"/>
      <c r="AD175" s="322"/>
      <c r="AE175" s="322"/>
      <c r="AF175" s="322"/>
      <c r="AG175" s="322"/>
      <c r="AH175" s="322"/>
      <c r="AI175" s="322"/>
      <c r="AJ175" s="322"/>
      <c r="AK175" s="322"/>
      <c r="AL175" s="322"/>
      <c r="AM175" s="322"/>
      <c r="AN175" s="322"/>
    </row>
    <row r="176" spans="1:40" x14ac:dyDescent="0.3">
      <c r="A176" s="322"/>
      <c r="B176" s="322"/>
      <c r="C176" s="322"/>
      <c r="D176" s="322"/>
      <c r="E176" s="322"/>
      <c r="F176" s="322"/>
      <c r="G176" s="322"/>
      <c r="H176" s="322"/>
      <c r="I176" s="322"/>
      <c r="J176" s="322"/>
      <c r="K176" s="322"/>
      <c r="L176" s="322"/>
      <c r="M176" s="322"/>
      <c r="N176" s="322"/>
      <c r="O176" s="322"/>
      <c r="P176" s="322"/>
      <c r="Q176" s="322"/>
      <c r="R176" s="322"/>
      <c r="S176" s="322"/>
      <c r="T176" s="322"/>
      <c r="U176" s="322"/>
      <c r="V176" s="322"/>
      <c r="W176" s="322"/>
      <c r="X176" s="322"/>
      <c r="Y176" s="322"/>
      <c r="Z176" s="322"/>
      <c r="AA176" s="322"/>
      <c r="AB176" s="322"/>
      <c r="AC176" s="322"/>
      <c r="AD176" s="322"/>
      <c r="AE176" s="322"/>
      <c r="AF176" s="322"/>
      <c r="AG176" s="322"/>
      <c r="AH176" s="322"/>
      <c r="AI176" s="322"/>
      <c r="AJ176" s="322"/>
      <c r="AK176" s="322"/>
      <c r="AL176" s="322"/>
      <c r="AM176" s="322"/>
      <c r="AN176" s="322"/>
    </row>
    <row r="177" spans="1:40" x14ac:dyDescent="0.3">
      <c r="A177" s="322"/>
      <c r="B177" s="322"/>
      <c r="C177" s="322"/>
      <c r="D177" s="322"/>
      <c r="E177" s="322"/>
      <c r="F177" s="322"/>
      <c r="G177" s="322"/>
      <c r="H177" s="322"/>
      <c r="I177" s="322"/>
      <c r="J177" s="322"/>
      <c r="K177" s="322"/>
      <c r="L177" s="322"/>
      <c r="M177" s="322"/>
      <c r="N177" s="322"/>
      <c r="O177" s="322"/>
      <c r="P177" s="322"/>
      <c r="Q177" s="322"/>
      <c r="R177" s="322"/>
      <c r="S177" s="322"/>
      <c r="T177" s="322"/>
      <c r="U177" s="322"/>
      <c r="V177" s="322"/>
      <c r="W177" s="322"/>
      <c r="X177" s="322"/>
      <c r="Y177" s="322"/>
      <c r="Z177" s="322"/>
      <c r="AA177" s="322"/>
      <c r="AB177" s="322"/>
      <c r="AC177" s="322"/>
      <c r="AD177" s="322"/>
      <c r="AE177" s="322"/>
      <c r="AF177" s="322"/>
      <c r="AG177" s="322"/>
      <c r="AH177" s="322"/>
      <c r="AI177" s="322"/>
      <c r="AJ177" s="322"/>
      <c r="AK177" s="322"/>
      <c r="AL177" s="322"/>
      <c r="AM177" s="322"/>
      <c r="AN177" s="322"/>
    </row>
    <row r="178" spans="1:40" x14ac:dyDescent="0.3">
      <c r="A178" s="322"/>
      <c r="B178" s="322"/>
      <c r="C178" s="322"/>
      <c r="D178" s="322"/>
      <c r="E178" s="322"/>
      <c r="F178" s="322"/>
      <c r="G178" s="322"/>
      <c r="H178" s="322"/>
      <c r="I178" s="322"/>
      <c r="J178" s="322"/>
      <c r="K178" s="322"/>
      <c r="L178" s="322"/>
      <c r="M178" s="322"/>
      <c r="N178" s="322"/>
      <c r="O178" s="322"/>
      <c r="P178" s="322"/>
      <c r="Q178" s="322"/>
      <c r="R178" s="322"/>
      <c r="S178" s="322"/>
      <c r="T178" s="322"/>
      <c r="U178" s="322"/>
      <c r="V178" s="322"/>
      <c r="W178" s="322"/>
      <c r="X178" s="322"/>
      <c r="Y178" s="322"/>
      <c r="Z178" s="322"/>
      <c r="AA178" s="322"/>
      <c r="AB178" s="322"/>
      <c r="AC178" s="322"/>
      <c r="AD178" s="322"/>
      <c r="AE178" s="322"/>
      <c r="AF178" s="322"/>
      <c r="AG178" s="322"/>
      <c r="AH178" s="322"/>
      <c r="AI178" s="322"/>
      <c r="AJ178" s="322"/>
      <c r="AK178" s="322"/>
      <c r="AL178" s="322"/>
      <c r="AM178" s="322"/>
      <c r="AN178" s="322"/>
    </row>
    <row r="179" spans="1:40" x14ac:dyDescent="0.3">
      <c r="A179" s="322"/>
      <c r="B179" s="322"/>
      <c r="C179" s="322"/>
      <c r="D179" s="322"/>
      <c r="E179" s="322"/>
      <c r="F179" s="322"/>
      <c r="G179" s="322"/>
      <c r="H179" s="322"/>
      <c r="I179" s="322"/>
      <c r="J179" s="322"/>
      <c r="K179" s="322"/>
      <c r="L179" s="322"/>
      <c r="M179" s="322"/>
      <c r="N179" s="322"/>
      <c r="O179" s="322"/>
      <c r="P179" s="322"/>
      <c r="Q179" s="322"/>
      <c r="R179" s="322"/>
      <c r="S179" s="322"/>
      <c r="T179" s="322"/>
      <c r="U179" s="322"/>
      <c r="V179" s="322"/>
      <c r="W179" s="322"/>
      <c r="X179" s="322"/>
      <c r="Y179" s="322"/>
      <c r="Z179" s="322"/>
      <c r="AA179" s="322"/>
      <c r="AB179" s="322"/>
      <c r="AC179" s="322"/>
      <c r="AD179" s="322"/>
      <c r="AE179" s="322"/>
      <c r="AF179" s="322"/>
      <c r="AG179" s="322"/>
      <c r="AH179" s="322"/>
      <c r="AI179" s="322"/>
      <c r="AJ179" s="322"/>
      <c r="AK179" s="322"/>
      <c r="AL179" s="322"/>
      <c r="AM179" s="322"/>
      <c r="AN179" s="322"/>
    </row>
    <row r="180" spans="1:40" x14ac:dyDescent="0.3">
      <c r="A180" s="322"/>
      <c r="B180" s="322"/>
      <c r="C180" s="322"/>
      <c r="D180" s="322"/>
      <c r="E180" s="322"/>
      <c r="F180" s="322"/>
      <c r="G180" s="322"/>
      <c r="H180" s="322"/>
      <c r="I180" s="322"/>
      <c r="J180" s="322"/>
      <c r="K180" s="322"/>
      <c r="L180" s="322"/>
      <c r="M180" s="322"/>
      <c r="N180" s="322"/>
      <c r="O180" s="322"/>
      <c r="P180" s="322"/>
      <c r="Q180" s="322"/>
      <c r="R180" s="322"/>
      <c r="S180" s="322"/>
      <c r="T180" s="322"/>
      <c r="U180" s="322"/>
      <c r="V180" s="322"/>
      <c r="W180" s="322"/>
      <c r="X180" s="322"/>
      <c r="Y180" s="322"/>
      <c r="Z180" s="322"/>
      <c r="AA180" s="322"/>
      <c r="AB180" s="322"/>
      <c r="AC180" s="322"/>
      <c r="AD180" s="322"/>
      <c r="AE180" s="322"/>
      <c r="AF180" s="322"/>
      <c r="AG180" s="322"/>
      <c r="AH180" s="322"/>
      <c r="AI180" s="322"/>
      <c r="AJ180" s="322"/>
      <c r="AK180" s="322"/>
      <c r="AL180" s="322"/>
      <c r="AM180" s="322"/>
      <c r="AN180" s="322"/>
    </row>
    <row r="181" spans="1:40" x14ac:dyDescent="0.3">
      <c r="A181" s="322"/>
      <c r="B181" s="322"/>
      <c r="C181" s="322"/>
      <c r="D181" s="322"/>
      <c r="E181" s="322"/>
      <c r="F181" s="322"/>
      <c r="G181" s="322"/>
      <c r="H181" s="322"/>
      <c r="I181" s="322"/>
      <c r="J181" s="322"/>
      <c r="K181" s="322"/>
      <c r="L181" s="322"/>
      <c r="M181" s="322"/>
      <c r="N181" s="322"/>
      <c r="O181" s="322"/>
      <c r="P181" s="322"/>
      <c r="Q181" s="322"/>
      <c r="R181" s="322"/>
      <c r="S181" s="322"/>
      <c r="T181" s="322"/>
      <c r="U181" s="322"/>
      <c r="V181" s="322"/>
      <c r="W181" s="322"/>
      <c r="X181" s="322"/>
      <c r="Y181" s="322"/>
      <c r="Z181" s="322"/>
      <c r="AA181" s="322"/>
      <c r="AB181" s="322"/>
      <c r="AC181" s="322"/>
      <c r="AD181" s="322"/>
      <c r="AE181" s="322"/>
      <c r="AF181" s="322"/>
      <c r="AG181" s="322"/>
      <c r="AH181" s="322"/>
      <c r="AI181" s="322"/>
      <c r="AJ181" s="322"/>
      <c r="AK181" s="322"/>
      <c r="AL181" s="322"/>
      <c r="AM181" s="322"/>
      <c r="AN181" s="322"/>
    </row>
    <row r="182" spans="1:40" x14ac:dyDescent="0.3">
      <c r="A182" s="322"/>
      <c r="B182" s="322"/>
      <c r="C182" s="322"/>
      <c r="D182" s="322"/>
      <c r="E182" s="322"/>
      <c r="F182" s="322"/>
      <c r="G182" s="322"/>
      <c r="H182" s="322"/>
      <c r="I182" s="322"/>
      <c r="J182" s="322"/>
      <c r="K182" s="322"/>
      <c r="L182" s="322"/>
      <c r="M182" s="322"/>
      <c r="N182" s="322"/>
      <c r="O182" s="322"/>
      <c r="P182" s="322"/>
      <c r="Q182" s="322"/>
      <c r="R182" s="322"/>
      <c r="S182" s="322"/>
      <c r="T182" s="322"/>
      <c r="U182" s="322"/>
      <c r="V182" s="322"/>
      <c r="W182" s="322"/>
      <c r="X182" s="322"/>
      <c r="Y182" s="322"/>
      <c r="Z182" s="322"/>
      <c r="AA182" s="322"/>
      <c r="AB182" s="322"/>
      <c r="AC182" s="322"/>
      <c r="AD182" s="322"/>
      <c r="AE182" s="322"/>
      <c r="AF182" s="322"/>
      <c r="AG182" s="322"/>
      <c r="AH182" s="322"/>
      <c r="AI182" s="322"/>
      <c r="AJ182" s="322"/>
      <c r="AK182" s="322"/>
      <c r="AL182" s="322"/>
      <c r="AM182" s="322"/>
      <c r="AN182" s="322"/>
    </row>
    <row r="183" spans="1:40" x14ac:dyDescent="0.3">
      <c r="A183" s="322"/>
      <c r="B183" s="322"/>
      <c r="C183" s="322"/>
      <c r="D183" s="322"/>
      <c r="E183" s="322"/>
      <c r="F183" s="322"/>
      <c r="G183" s="322"/>
      <c r="H183" s="322"/>
      <c r="I183" s="322"/>
      <c r="J183" s="322"/>
      <c r="K183" s="322"/>
      <c r="L183" s="322"/>
      <c r="M183" s="322"/>
      <c r="N183" s="322"/>
      <c r="O183" s="322"/>
      <c r="P183" s="322"/>
      <c r="Q183" s="322"/>
      <c r="R183" s="322"/>
      <c r="S183" s="322"/>
      <c r="T183" s="322"/>
      <c r="U183" s="322"/>
      <c r="V183" s="322"/>
      <c r="W183" s="322"/>
      <c r="X183" s="322"/>
      <c r="Y183" s="322"/>
      <c r="Z183" s="322"/>
      <c r="AA183" s="322"/>
      <c r="AB183" s="322"/>
      <c r="AC183" s="322"/>
      <c r="AD183" s="322"/>
      <c r="AE183" s="322"/>
      <c r="AF183" s="322"/>
      <c r="AG183" s="322"/>
      <c r="AH183" s="322"/>
      <c r="AI183" s="322"/>
      <c r="AJ183" s="322"/>
      <c r="AK183" s="322"/>
      <c r="AL183" s="322"/>
      <c r="AM183" s="322"/>
      <c r="AN183" s="322"/>
    </row>
    <row r="184" spans="1:40" x14ac:dyDescent="0.3">
      <c r="A184" s="322"/>
      <c r="B184" s="322"/>
      <c r="C184" s="322"/>
      <c r="D184" s="322"/>
      <c r="E184" s="322"/>
      <c r="F184" s="322"/>
      <c r="G184" s="322"/>
      <c r="H184" s="322"/>
      <c r="I184" s="322"/>
      <c r="J184" s="322"/>
      <c r="K184" s="322"/>
      <c r="L184" s="322"/>
      <c r="M184" s="322"/>
      <c r="N184" s="322"/>
      <c r="O184" s="322"/>
      <c r="P184" s="322"/>
      <c r="Q184" s="322"/>
      <c r="R184" s="322"/>
      <c r="S184" s="322"/>
      <c r="T184" s="322"/>
      <c r="U184" s="322"/>
      <c r="V184" s="322"/>
      <c r="W184" s="322"/>
      <c r="X184" s="322"/>
      <c r="Y184" s="322"/>
      <c r="Z184" s="322"/>
      <c r="AA184" s="322"/>
      <c r="AB184" s="322"/>
      <c r="AC184" s="322"/>
      <c r="AD184" s="322"/>
      <c r="AE184" s="322"/>
      <c r="AF184" s="322"/>
      <c r="AG184" s="322"/>
      <c r="AH184" s="322"/>
      <c r="AI184" s="322"/>
      <c r="AJ184" s="322"/>
      <c r="AK184" s="322"/>
      <c r="AL184" s="322"/>
      <c r="AM184" s="322"/>
      <c r="AN184" s="322"/>
    </row>
    <row r="185" spans="1:40" x14ac:dyDescent="0.3">
      <c r="A185" s="322"/>
      <c r="B185" s="322"/>
      <c r="C185" s="322"/>
      <c r="D185" s="322"/>
      <c r="E185" s="322"/>
      <c r="F185" s="322"/>
      <c r="G185" s="322"/>
      <c r="H185" s="322"/>
      <c r="I185" s="322"/>
      <c r="J185" s="322"/>
      <c r="K185" s="322"/>
      <c r="L185" s="322"/>
      <c r="M185" s="322"/>
      <c r="N185" s="322"/>
      <c r="O185" s="322"/>
      <c r="P185" s="322"/>
      <c r="Q185" s="322"/>
      <c r="R185" s="322"/>
      <c r="S185" s="322"/>
      <c r="T185" s="322"/>
      <c r="U185" s="322"/>
      <c r="V185" s="322"/>
      <c r="W185" s="322"/>
      <c r="X185" s="322"/>
      <c r="Y185" s="322"/>
      <c r="Z185" s="322"/>
      <c r="AA185" s="322"/>
      <c r="AB185" s="322"/>
      <c r="AC185" s="322"/>
      <c r="AD185" s="322"/>
      <c r="AE185" s="322"/>
      <c r="AF185" s="322"/>
      <c r="AG185" s="322"/>
      <c r="AH185" s="322"/>
      <c r="AI185" s="322"/>
      <c r="AJ185" s="322"/>
      <c r="AK185" s="322"/>
      <c r="AL185" s="322"/>
      <c r="AM185" s="322"/>
      <c r="AN185" s="322"/>
    </row>
    <row r="186" spans="1:40" x14ac:dyDescent="0.3">
      <c r="A186" s="322"/>
      <c r="B186" s="322"/>
      <c r="C186" s="322"/>
      <c r="D186" s="322"/>
      <c r="E186" s="322"/>
      <c r="F186" s="322"/>
      <c r="G186" s="322"/>
      <c r="H186" s="322"/>
      <c r="I186" s="322"/>
      <c r="J186" s="322"/>
      <c r="K186" s="322"/>
      <c r="L186" s="322"/>
      <c r="M186" s="322"/>
      <c r="N186" s="322"/>
      <c r="O186" s="322"/>
      <c r="P186" s="322"/>
      <c r="Q186" s="322"/>
      <c r="R186" s="322"/>
      <c r="S186" s="322"/>
      <c r="T186" s="322"/>
      <c r="U186" s="322"/>
      <c r="V186" s="322"/>
      <c r="W186" s="322"/>
      <c r="X186" s="322"/>
      <c r="Y186" s="322"/>
      <c r="Z186" s="322"/>
      <c r="AA186" s="322"/>
      <c r="AB186" s="322"/>
      <c r="AC186" s="322"/>
      <c r="AD186" s="322"/>
      <c r="AE186" s="322"/>
      <c r="AF186" s="322"/>
      <c r="AG186" s="322"/>
      <c r="AH186" s="322"/>
      <c r="AI186" s="322"/>
      <c r="AJ186" s="322"/>
      <c r="AK186" s="322"/>
      <c r="AL186" s="322"/>
      <c r="AM186" s="322"/>
      <c r="AN186" s="322"/>
    </row>
    <row r="187" spans="1:40" x14ac:dyDescent="0.3">
      <c r="A187" s="322"/>
      <c r="B187" s="322"/>
      <c r="C187" s="322"/>
      <c r="D187" s="322"/>
      <c r="E187" s="322"/>
      <c r="F187" s="322"/>
      <c r="G187" s="322"/>
      <c r="H187" s="322"/>
      <c r="I187" s="322"/>
      <c r="J187" s="322"/>
      <c r="K187" s="322"/>
      <c r="L187" s="322"/>
      <c r="M187" s="322"/>
      <c r="N187" s="322"/>
      <c r="O187" s="322"/>
      <c r="P187" s="322"/>
      <c r="Q187" s="322"/>
      <c r="R187" s="322"/>
      <c r="S187" s="322"/>
      <c r="T187" s="322"/>
      <c r="U187" s="322"/>
      <c r="V187" s="322"/>
      <c r="W187" s="322"/>
      <c r="X187" s="322"/>
      <c r="Y187" s="322"/>
      <c r="Z187" s="322"/>
      <c r="AA187" s="322"/>
      <c r="AB187" s="322"/>
      <c r="AC187" s="322"/>
      <c r="AD187" s="322"/>
      <c r="AE187" s="322"/>
      <c r="AF187" s="322"/>
      <c r="AG187" s="322"/>
      <c r="AH187" s="322"/>
      <c r="AI187" s="322"/>
      <c r="AJ187" s="322"/>
      <c r="AK187" s="322"/>
      <c r="AL187" s="322"/>
      <c r="AM187" s="322"/>
      <c r="AN187" s="322"/>
    </row>
    <row r="188" spans="1:40" x14ac:dyDescent="0.3">
      <c r="A188" s="322"/>
      <c r="B188" s="322"/>
      <c r="C188" s="322"/>
      <c r="D188" s="322"/>
      <c r="E188" s="322"/>
      <c r="F188" s="322"/>
      <c r="G188" s="322"/>
      <c r="H188" s="322"/>
      <c r="I188" s="322"/>
      <c r="J188" s="322"/>
      <c r="K188" s="322"/>
      <c r="L188" s="322"/>
      <c r="M188" s="322"/>
      <c r="N188" s="322"/>
      <c r="O188" s="322"/>
      <c r="P188" s="322"/>
      <c r="Q188" s="322"/>
      <c r="R188" s="322"/>
      <c r="S188" s="322"/>
      <c r="T188" s="322"/>
      <c r="U188" s="322"/>
      <c r="V188" s="322"/>
      <c r="W188" s="322"/>
      <c r="X188" s="322"/>
      <c r="Y188" s="322"/>
      <c r="Z188" s="322"/>
      <c r="AA188" s="322"/>
      <c r="AB188" s="322"/>
      <c r="AC188" s="322"/>
      <c r="AD188" s="322"/>
      <c r="AE188" s="322"/>
      <c r="AF188" s="322"/>
      <c r="AG188" s="322"/>
      <c r="AH188" s="322"/>
      <c r="AI188" s="322"/>
      <c r="AJ188" s="322"/>
      <c r="AK188" s="322"/>
      <c r="AL188" s="322"/>
      <c r="AM188" s="322"/>
      <c r="AN188" s="322"/>
    </row>
    <row r="189" spans="1:40" x14ac:dyDescent="0.3">
      <c r="A189" s="322"/>
      <c r="B189" s="322"/>
      <c r="C189" s="322"/>
      <c r="D189" s="322"/>
      <c r="E189" s="322"/>
      <c r="F189" s="322"/>
      <c r="G189" s="322"/>
      <c r="H189" s="322"/>
      <c r="I189" s="322"/>
      <c r="J189" s="322"/>
      <c r="K189" s="322"/>
      <c r="L189" s="322"/>
      <c r="M189" s="322"/>
      <c r="N189" s="322"/>
      <c r="O189" s="322"/>
      <c r="P189" s="322"/>
      <c r="Q189" s="322"/>
      <c r="R189" s="322"/>
      <c r="S189" s="322"/>
      <c r="T189" s="322"/>
      <c r="U189" s="322"/>
      <c r="V189" s="322"/>
      <c r="W189" s="322"/>
      <c r="X189" s="322"/>
      <c r="Y189" s="322"/>
      <c r="Z189" s="322"/>
      <c r="AA189" s="322"/>
      <c r="AB189" s="322"/>
      <c r="AC189" s="322"/>
      <c r="AD189" s="322"/>
      <c r="AE189" s="322"/>
      <c r="AF189" s="322"/>
      <c r="AG189" s="322"/>
      <c r="AH189" s="322"/>
      <c r="AI189" s="322"/>
      <c r="AJ189" s="322"/>
      <c r="AK189" s="322"/>
      <c r="AL189" s="322"/>
      <c r="AM189" s="322"/>
      <c r="AN189" s="322"/>
    </row>
    <row r="190" spans="1:40" x14ac:dyDescent="0.3">
      <c r="A190" s="322"/>
      <c r="B190" s="322"/>
      <c r="C190" s="322"/>
      <c r="D190" s="322"/>
      <c r="E190" s="322"/>
      <c r="F190" s="322"/>
      <c r="G190" s="322"/>
      <c r="H190" s="322"/>
      <c r="I190" s="322"/>
      <c r="J190" s="322"/>
      <c r="K190" s="322"/>
      <c r="L190" s="322"/>
      <c r="M190" s="322"/>
      <c r="N190" s="322"/>
      <c r="O190" s="322"/>
      <c r="P190" s="322"/>
      <c r="Q190" s="322"/>
      <c r="R190" s="322"/>
      <c r="S190" s="322"/>
      <c r="T190" s="322"/>
      <c r="U190" s="322"/>
      <c r="V190" s="322"/>
      <c r="W190" s="322"/>
      <c r="X190" s="322"/>
      <c r="Y190" s="322"/>
      <c r="Z190" s="322"/>
      <c r="AA190" s="322"/>
      <c r="AB190" s="322"/>
      <c r="AC190" s="322"/>
      <c r="AD190" s="322"/>
      <c r="AE190" s="322"/>
      <c r="AF190" s="322"/>
      <c r="AG190" s="322"/>
      <c r="AH190" s="322"/>
      <c r="AI190" s="322"/>
      <c r="AJ190" s="322"/>
      <c r="AK190" s="322"/>
      <c r="AL190" s="322"/>
      <c r="AM190" s="322"/>
      <c r="AN190" s="322"/>
    </row>
    <row r="191" spans="1:40" x14ac:dyDescent="0.3">
      <c r="A191" s="322"/>
      <c r="B191" s="322"/>
      <c r="C191" s="322"/>
      <c r="D191" s="322"/>
      <c r="E191" s="322"/>
      <c r="F191" s="322"/>
      <c r="G191" s="322"/>
      <c r="H191" s="322"/>
      <c r="I191" s="322"/>
      <c r="J191" s="322"/>
      <c r="K191" s="322"/>
      <c r="L191" s="322"/>
      <c r="M191" s="322"/>
      <c r="N191" s="322"/>
      <c r="O191" s="322"/>
      <c r="P191" s="322"/>
      <c r="Q191" s="322"/>
      <c r="R191" s="322"/>
      <c r="S191" s="322"/>
      <c r="T191" s="322"/>
      <c r="U191" s="322"/>
      <c r="V191" s="322"/>
      <c r="W191" s="322"/>
      <c r="X191" s="322"/>
      <c r="Y191" s="322"/>
      <c r="Z191" s="322"/>
      <c r="AA191" s="322"/>
      <c r="AB191" s="322"/>
      <c r="AC191" s="322"/>
      <c r="AD191" s="322"/>
      <c r="AE191" s="322"/>
      <c r="AF191" s="322"/>
      <c r="AG191" s="322"/>
      <c r="AH191" s="322"/>
      <c r="AI191" s="322"/>
      <c r="AJ191" s="322"/>
      <c r="AK191" s="322"/>
      <c r="AL191" s="322"/>
      <c r="AM191" s="322"/>
      <c r="AN191" s="322"/>
    </row>
    <row r="192" spans="1:40" x14ac:dyDescent="0.3">
      <c r="A192" s="322"/>
      <c r="B192" s="322"/>
      <c r="C192" s="322"/>
      <c r="D192" s="322"/>
      <c r="E192" s="322"/>
      <c r="F192" s="322"/>
      <c r="G192" s="322"/>
      <c r="H192" s="322"/>
      <c r="I192" s="322"/>
      <c r="J192" s="322"/>
      <c r="K192" s="322"/>
      <c r="L192" s="322"/>
      <c r="M192" s="322"/>
      <c r="N192" s="322"/>
      <c r="O192" s="322"/>
      <c r="P192" s="322"/>
      <c r="Q192" s="322"/>
      <c r="R192" s="322"/>
      <c r="S192" s="322"/>
      <c r="T192" s="322"/>
      <c r="U192" s="322"/>
      <c r="V192" s="322"/>
      <c r="W192" s="322"/>
      <c r="X192" s="322"/>
      <c r="Y192" s="322"/>
      <c r="Z192" s="322"/>
      <c r="AA192" s="322"/>
      <c r="AB192" s="322"/>
      <c r="AC192" s="322"/>
      <c r="AD192" s="322"/>
      <c r="AE192" s="322"/>
      <c r="AF192" s="322"/>
      <c r="AG192" s="322"/>
      <c r="AH192" s="322"/>
      <c r="AI192" s="322"/>
      <c r="AJ192" s="322"/>
      <c r="AK192" s="322"/>
      <c r="AL192" s="322"/>
      <c r="AM192" s="322"/>
      <c r="AN192" s="322"/>
    </row>
    <row r="193" spans="1:40" x14ac:dyDescent="0.3">
      <c r="A193" s="322"/>
      <c r="B193" s="322"/>
      <c r="C193" s="322"/>
      <c r="D193" s="322"/>
      <c r="E193" s="322"/>
      <c r="F193" s="322"/>
      <c r="G193" s="322"/>
      <c r="H193" s="322"/>
      <c r="I193" s="322"/>
      <c r="J193" s="322"/>
      <c r="K193" s="322"/>
      <c r="L193" s="322"/>
      <c r="M193" s="322"/>
      <c r="N193" s="322"/>
      <c r="O193" s="322"/>
      <c r="P193" s="322"/>
      <c r="Q193" s="322"/>
      <c r="R193" s="322"/>
      <c r="S193" s="322"/>
      <c r="T193" s="322"/>
      <c r="U193" s="322"/>
      <c r="V193" s="322"/>
      <c r="W193" s="322"/>
      <c r="X193" s="322"/>
      <c r="Y193" s="322"/>
      <c r="Z193" s="322"/>
      <c r="AA193" s="322"/>
      <c r="AB193" s="322"/>
      <c r="AC193" s="322"/>
      <c r="AD193" s="322"/>
      <c r="AE193" s="322"/>
      <c r="AF193" s="322"/>
      <c r="AG193" s="322"/>
      <c r="AH193" s="322"/>
      <c r="AI193" s="322"/>
      <c r="AJ193" s="322"/>
      <c r="AK193" s="322"/>
      <c r="AL193" s="322"/>
      <c r="AM193" s="322"/>
      <c r="AN193" s="322"/>
    </row>
    <row r="194" spans="1:40" x14ac:dyDescent="0.3">
      <c r="A194" s="322"/>
      <c r="B194" s="322"/>
      <c r="C194" s="322"/>
      <c r="D194" s="322"/>
      <c r="E194" s="322"/>
      <c r="F194" s="322"/>
      <c r="G194" s="322"/>
      <c r="H194" s="322"/>
      <c r="I194" s="322"/>
      <c r="J194" s="322"/>
      <c r="K194" s="322"/>
      <c r="L194" s="322"/>
      <c r="M194" s="322"/>
      <c r="N194" s="322"/>
      <c r="O194" s="322"/>
      <c r="P194" s="322"/>
      <c r="Q194" s="322"/>
      <c r="R194" s="322"/>
      <c r="S194" s="322"/>
      <c r="T194" s="322"/>
      <c r="U194" s="322"/>
      <c r="V194" s="322"/>
      <c r="W194" s="322"/>
      <c r="X194" s="322"/>
      <c r="Y194" s="322"/>
      <c r="Z194" s="322"/>
      <c r="AA194" s="322"/>
      <c r="AB194" s="322"/>
      <c r="AC194" s="322"/>
      <c r="AD194" s="322"/>
      <c r="AE194" s="322"/>
      <c r="AF194" s="322"/>
      <c r="AG194" s="322"/>
      <c r="AH194" s="322"/>
      <c r="AI194" s="322"/>
      <c r="AJ194" s="322"/>
      <c r="AK194" s="322"/>
      <c r="AL194" s="322"/>
      <c r="AM194" s="322"/>
      <c r="AN194" s="322"/>
    </row>
    <row r="195" spans="1:40" x14ac:dyDescent="0.3">
      <c r="A195" s="322"/>
      <c r="B195" s="322"/>
      <c r="C195" s="322"/>
      <c r="D195" s="322"/>
      <c r="E195" s="322"/>
      <c r="F195" s="322"/>
      <c r="G195" s="322"/>
      <c r="H195" s="322"/>
      <c r="I195" s="322"/>
      <c r="J195" s="322"/>
      <c r="K195" s="322"/>
      <c r="L195" s="322"/>
      <c r="M195" s="322"/>
      <c r="N195" s="322"/>
      <c r="O195" s="322"/>
      <c r="P195" s="322"/>
      <c r="Q195" s="322"/>
      <c r="R195" s="322"/>
      <c r="S195" s="322"/>
      <c r="T195" s="322"/>
      <c r="U195" s="322"/>
      <c r="V195" s="322"/>
      <c r="W195" s="322"/>
      <c r="X195" s="322"/>
      <c r="Y195" s="322"/>
      <c r="Z195" s="322"/>
      <c r="AA195" s="322"/>
      <c r="AB195" s="322"/>
      <c r="AC195" s="322"/>
      <c r="AD195" s="322"/>
      <c r="AE195" s="322"/>
      <c r="AF195" s="322"/>
      <c r="AG195" s="322"/>
      <c r="AH195" s="322"/>
      <c r="AI195" s="322"/>
      <c r="AJ195" s="322"/>
      <c r="AK195" s="322"/>
      <c r="AL195" s="322"/>
      <c r="AM195" s="322"/>
      <c r="AN195" s="322"/>
    </row>
    <row r="196" spans="1:40" x14ac:dyDescent="0.3">
      <c r="A196" s="322"/>
      <c r="B196" s="322"/>
      <c r="C196" s="322"/>
      <c r="D196" s="322"/>
      <c r="E196" s="322"/>
      <c r="F196" s="322"/>
      <c r="G196" s="322"/>
      <c r="H196" s="322"/>
      <c r="I196" s="322"/>
      <c r="J196" s="322"/>
      <c r="K196" s="322"/>
      <c r="L196" s="322"/>
      <c r="M196" s="322"/>
      <c r="N196" s="322"/>
      <c r="O196" s="322"/>
      <c r="P196" s="322"/>
      <c r="Q196" s="322"/>
      <c r="R196" s="322"/>
      <c r="S196" s="322"/>
      <c r="T196" s="322"/>
      <c r="U196" s="322"/>
      <c r="V196" s="322"/>
      <c r="W196" s="322"/>
      <c r="X196" s="322"/>
      <c r="Y196" s="322"/>
      <c r="Z196" s="322"/>
      <c r="AA196" s="322"/>
      <c r="AB196" s="322"/>
      <c r="AC196" s="322"/>
      <c r="AD196" s="322"/>
      <c r="AE196" s="322"/>
      <c r="AF196" s="322"/>
      <c r="AG196" s="322"/>
      <c r="AH196" s="322"/>
      <c r="AI196" s="322"/>
      <c r="AJ196" s="322"/>
      <c r="AK196" s="322"/>
      <c r="AL196" s="322"/>
      <c r="AM196" s="322"/>
      <c r="AN196" s="322"/>
    </row>
    <row r="197" spans="1:40" x14ac:dyDescent="0.3">
      <c r="A197" s="322"/>
      <c r="B197" s="322"/>
      <c r="C197" s="322"/>
      <c r="D197" s="322"/>
      <c r="E197" s="322"/>
      <c r="F197" s="322"/>
      <c r="G197" s="322"/>
      <c r="H197" s="322"/>
      <c r="I197" s="322"/>
      <c r="J197" s="322"/>
      <c r="K197" s="322"/>
      <c r="L197" s="322"/>
      <c r="M197" s="322"/>
      <c r="N197" s="322"/>
      <c r="O197" s="322"/>
      <c r="P197" s="322"/>
      <c r="Q197" s="322"/>
      <c r="R197" s="322"/>
      <c r="S197" s="322"/>
      <c r="T197" s="322"/>
      <c r="U197" s="322"/>
      <c r="V197" s="322"/>
      <c r="W197" s="322"/>
      <c r="X197" s="322"/>
      <c r="Y197" s="322"/>
      <c r="Z197" s="322"/>
      <c r="AA197" s="322"/>
      <c r="AB197" s="322"/>
      <c r="AC197" s="322"/>
      <c r="AD197" s="322"/>
      <c r="AE197" s="322"/>
      <c r="AF197" s="322"/>
      <c r="AG197" s="322"/>
      <c r="AH197" s="322"/>
      <c r="AI197" s="322"/>
      <c r="AJ197" s="322"/>
      <c r="AK197" s="322"/>
      <c r="AL197" s="322"/>
      <c r="AM197" s="322"/>
      <c r="AN197" s="322"/>
    </row>
    <row r="198" spans="1:40" x14ac:dyDescent="0.3">
      <c r="A198" s="322"/>
      <c r="B198" s="322"/>
      <c r="C198" s="322"/>
      <c r="D198" s="322"/>
      <c r="E198" s="322"/>
      <c r="F198" s="322"/>
      <c r="G198" s="322"/>
      <c r="H198" s="322"/>
      <c r="I198" s="322"/>
      <c r="J198" s="322"/>
      <c r="K198" s="322"/>
      <c r="L198" s="322"/>
      <c r="M198" s="322"/>
      <c r="N198" s="322"/>
      <c r="O198" s="322"/>
      <c r="P198" s="322"/>
      <c r="Q198" s="322"/>
      <c r="R198" s="322"/>
      <c r="S198" s="322"/>
      <c r="T198" s="322"/>
      <c r="U198" s="322"/>
      <c r="V198" s="322"/>
      <c r="W198" s="322"/>
      <c r="X198" s="322"/>
      <c r="Y198" s="322"/>
      <c r="Z198" s="322"/>
      <c r="AA198" s="322"/>
      <c r="AB198" s="322"/>
      <c r="AC198" s="322"/>
      <c r="AD198" s="322"/>
      <c r="AE198" s="322"/>
      <c r="AF198" s="322"/>
      <c r="AG198" s="322"/>
      <c r="AH198" s="322"/>
      <c r="AI198" s="322"/>
      <c r="AJ198" s="322"/>
      <c r="AK198" s="322"/>
      <c r="AL198" s="322"/>
      <c r="AM198" s="322"/>
      <c r="AN198" s="322"/>
    </row>
    <row r="199" spans="1:40" x14ac:dyDescent="0.3">
      <c r="A199" s="322"/>
      <c r="B199" s="322"/>
      <c r="C199" s="322"/>
      <c r="D199" s="322"/>
      <c r="E199" s="322"/>
      <c r="F199" s="322"/>
      <c r="G199" s="322"/>
      <c r="H199" s="322"/>
      <c r="I199" s="322"/>
      <c r="J199" s="322"/>
      <c r="K199" s="322"/>
      <c r="L199" s="322"/>
      <c r="M199" s="322"/>
      <c r="N199" s="322"/>
      <c r="O199" s="322"/>
      <c r="P199" s="322"/>
      <c r="Q199" s="322"/>
      <c r="R199" s="322"/>
      <c r="S199" s="322"/>
      <c r="T199" s="322"/>
      <c r="U199" s="322"/>
      <c r="V199" s="322"/>
      <c r="W199" s="322"/>
      <c r="X199" s="322"/>
      <c r="Y199" s="322"/>
      <c r="Z199" s="322"/>
      <c r="AA199" s="322"/>
      <c r="AB199" s="322"/>
      <c r="AC199" s="322"/>
      <c r="AD199" s="322"/>
      <c r="AE199" s="322"/>
      <c r="AF199" s="322"/>
      <c r="AG199" s="322"/>
      <c r="AH199" s="322"/>
      <c r="AI199" s="322"/>
      <c r="AJ199" s="322"/>
      <c r="AK199" s="322"/>
      <c r="AL199" s="322"/>
      <c r="AM199" s="322"/>
      <c r="AN199" s="322"/>
    </row>
    <row r="200" spans="1:40" x14ac:dyDescent="0.3">
      <c r="A200" s="322"/>
      <c r="B200" s="322"/>
      <c r="C200" s="322"/>
      <c r="D200" s="322"/>
      <c r="E200" s="322"/>
      <c r="F200" s="322"/>
      <c r="G200" s="322"/>
      <c r="H200" s="322"/>
      <c r="I200" s="322"/>
      <c r="J200" s="322"/>
      <c r="K200" s="322"/>
      <c r="L200" s="322"/>
      <c r="M200" s="322"/>
      <c r="N200" s="322"/>
      <c r="O200" s="322"/>
      <c r="P200" s="322"/>
      <c r="Q200" s="322"/>
      <c r="R200" s="322"/>
      <c r="S200" s="322"/>
      <c r="T200" s="322"/>
      <c r="U200" s="322"/>
      <c r="V200" s="322"/>
      <c r="W200" s="322"/>
      <c r="X200" s="322"/>
      <c r="Y200" s="322"/>
      <c r="Z200" s="322"/>
      <c r="AA200" s="322"/>
      <c r="AB200" s="322"/>
      <c r="AC200" s="322"/>
      <c r="AD200" s="322"/>
      <c r="AE200" s="322"/>
      <c r="AF200" s="322"/>
      <c r="AG200" s="322"/>
      <c r="AH200" s="322"/>
      <c r="AI200" s="322"/>
      <c r="AJ200" s="322"/>
      <c r="AK200" s="322"/>
      <c r="AL200" s="322"/>
      <c r="AM200" s="322"/>
      <c r="AN200" s="322"/>
    </row>
    <row r="201" spans="1:40" x14ac:dyDescent="0.3">
      <c r="A201" s="322"/>
      <c r="B201" s="322"/>
      <c r="C201" s="322"/>
      <c r="D201" s="322"/>
      <c r="E201" s="322"/>
      <c r="F201" s="322"/>
      <c r="G201" s="322"/>
      <c r="H201" s="322"/>
      <c r="I201" s="322"/>
      <c r="J201" s="322"/>
      <c r="K201" s="322"/>
      <c r="L201" s="322"/>
      <c r="M201" s="322"/>
      <c r="N201" s="322"/>
      <c r="O201" s="322"/>
      <c r="P201" s="322"/>
      <c r="Q201" s="322"/>
      <c r="R201" s="322"/>
      <c r="S201" s="322"/>
      <c r="T201" s="322"/>
      <c r="U201" s="322"/>
      <c r="V201" s="322"/>
      <c r="W201" s="322"/>
      <c r="X201" s="322"/>
      <c r="Y201" s="322"/>
      <c r="Z201" s="322"/>
      <c r="AA201" s="322"/>
      <c r="AB201" s="322"/>
      <c r="AC201" s="322"/>
      <c r="AD201" s="322"/>
      <c r="AE201" s="322"/>
      <c r="AF201" s="322"/>
      <c r="AG201" s="322"/>
      <c r="AH201" s="322"/>
      <c r="AI201" s="322"/>
      <c r="AJ201" s="322"/>
      <c r="AK201" s="322"/>
      <c r="AL201" s="322"/>
      <c r="AM201" s="322"/>
      <c r="AN201" s="322"/>
    </row>
    <row r="202" spans="1:40" x14ac:dyDescent="0.3">
      <c r="A202" s="322"/>
      <c r="B202" s="322"/>
      <c r="C202" s="322"/>
      <c r="D202" s="322"/>
      <c r="E202" s="322"/>
      <c r="F202" s="322"/>
      <c r="G202" s="322"/>
      <c r="H202" s="322"/>
      <c r="I202" s="322"/>
      <c r="J202" s="322"/>
      <c r="K202" s="322"/>
      <c r="L202" s="322"/>
      <c r="M202" s="322"/>
      <c r="N202" s="322"/>
      <c r="O202" s="322"/>
      <c r="P202" s="322"/>
      <c r="Q202" s="322"/>
      <c r="R202" s="322"/>
      <c r="S202" s="322"/>
      <c r="T202" s="322"/>
      <c r="U202" s="322"/>
      <c r="V202" s="322"/>
      <c r="W202" s="322"/>
      <c r="X202" s="322"/>
      <c r="Y202" s="322"/>
      <c r="Z202" s="322"/>
      <c r="AA202" s="322"/>
      <c r="AB202" s="322"/>
      <c r="AC202" s="322"/>
      <c r="AD202" s="322"/>
      <c r="AE202" s="322"/>
      <c r="AF202" s="322"/>
      <c r="AG202" s="322"/>
      <c r="AH202" s="322"/>
      <c r="AI202" s="322"/>
      <c r="AJ202" s="322"/>
      <c r="AK202" s="322"/>
      <c r="AL202" s="322"/>
      <c r="AM202" s="322"/>
      <c r="AN202" s="322"/>
    </row>
    <row r="203" spans="1:40" x14ac:dyDescent="0.3">
      <c r="A203" s="322"/>
      <c r="B203" s="322"/>
      <c r="C203" s="322"/>
      <c r="D203" s="322"/>
      <c r="E203" s="322"/>
      <c r="F203" s="322"/>
      <c r="G203" s="322"/>
      <c r="H203" s="322"/>
      <c r="I203" s="322"/>
      <c r="J203" s="322"/>
      <c r="K203" s="322"/>
      <c r="L203" s="322"/>
      <c r="M203" s="322"/>
      <c r="N203" s="322"/>
      <c r="O203" s="322"/>
      <c r="P203" s="322"/>
      <c r="Q203" s="322"/>
      <c r="R203" s="322"/>
      <c r="S203" s="322"/>
      <c r="T203" s="322"/>
      <c r="U203" s="322"/>
      <c r="V203" s="322"/>
      <c r="W203" s="322"/>
      <c r="X203" s="322"/>
      <c r="Y203" s="322"/>
      <c r="Z203" s="322"/>
      <c r="AA203" s="322"/>
      <c r="AB203" s="322"/>
      <c r="AC203" s="322"/>
      <c r="AD203" s="322"/>
      <c r="AE203" s="322"/>
      <c r="AF203" s="322"/>
      <c r="AG203" s="322"/>
      <c r="AH203" s="322"/>
      <c r="AI203" s="322"/>
      <c r="AJ203" s="322"/>
      <c r="AK203" s="322"/>
      <c r="AL203" s="322"/>
      <c r="AM203" s="322"/>
      <c r="AN203" s="322"/>
    </row>
    <row r="204" spans="1:40" x14ac:dyDescent="0.3">
      <c r="A204" s="322"/>
      <c r="B204" s="322"/>
      <c r="C204" s="322"/>
      <c r="D204" s="322"/>
      <c r="E204" s="322"/>
      <c r="F204" s="322"/>
      <c r="G204" s="322"/>
      <c r="H204" s="322"/>
      <c r="I204" s="322"/>
      <c r="J204" s="322"/>
      <c r="K204" s="322"/>
      <c r="L204" s="322"/>
      <c r="M204" s="322"/>
      <c r="N204" s="322"/>
      <c r="O204" s="322"/>
      <c r="P204" s="322"/>
      <c r="Q204" s="322"/>
      <c r="R204" s="322"/>
      <c r="S204" s="322"/>
      <c r="T204" s="322"/>
      <c r="U204" s="322"/>
      <c r="V204" s="322"/>
      <c r="W204" s="322"/>
      <c r="X204" s="322"/>
      <c r="Y204" s="322"/>
      <c r="Z204" s="322"/>
      <c r="AA204" s="322"/>
      <c r="AB204" s="322"/>
      <c r="AC204" s="322"/>
      <c r="AD204" s="322"/>
      <c r="AE204" s="322"/>
      <c r="AF204" s="322"/>
      <c r="AG204" s="322"/>
      <c r="AH204" s="322"/>
      <c r="AI204" s="322"/>
      <c r="AJ204" s="322"/>
      <c r="AK204" s="322"/>
      <c r="AL204" s="322"/>
      <c r="AM204" s="322"/>
      <c r="AN204" s="322"/>
    </row>
    <row r="205" spans="1:40" x14ac:dyDescent="0.3">
      <c r="A205" s="322"/>
      <c r="B205" s="322"/>
      <c r="C205" s="322"/>
      <c r="D205" s="322"/>
      <c r="E205" s="322"/>
      <c r="F205" s="322"/>
      <c r="G205" s="322"/>
      <c r="H205" s="322"/>
      <c r="I205" s="322"/>
      <c r="J205" s="322"/>
      <c r="K205" s="322"/>
      <c r="L205" s="322"/>
      <c r="M205" s="322"/>
      <c r="N205" s="322"/>
      <c r="O205" s="322"/>
      <c r="P205" s="322"/>
      <c r="Q205" s="322"/>
      <c r="R205" s="322"/>
      <c r="S205" s="322"/>
      <c r="T205" s="322"/>
      <c r="U205" s="322"/>
      <c r="V205" s="322"/>
      <c r="W205" s="322"/>
      <c r="X205" s="322"/>
      <c r="Y205" s="322"/>
      <c r="Z205" s="322"/>
      <c r="AA205" s="322"/>
      <c r="AB205" s="322"/>
      <c r="AC205" s="322"/>
      <c r="AD205" s="322"/>
      <c r="AE205" s="322"/>
      <c r="AF205" s="322"/>
      <c r="AG205" s="322"/>
      <c r="AH205" s="322"/>
      <c r="AI205" s="322"/>
      <c r="AJ205" s="322"/>
      <c r="AK205" s="322"/>
      <c r="AL205" s="322"/>
      <c r="AM205" s="322"/>
      <c r="AN205" s="322"/>
    </row>
    <row r="206" spans="1:40" x14ac:dyDescent="0.3">
      <c r="A206" s="322"/>
      <c r="B206" s="322"/>
      <c r="C206" s="322"/>
      <c r="D206" s="322"/>
      <c r="E206" s="322"/>
      <c r="F206" s="322"/>
      <c r="G206" s="322"/>
      <c r="H206" s="322"/>
      <c r="I206" s="322"/>
      <c r="J206" s="322"/>
      <c r="K206" s="322"/>
      <c r="L206" s="322"/>
      <c r="M206" s="322"/>
      <c r="N206" s="322"/>
      <c r="O206" s="322"/>
      <c r="P206" s="322"/>
      <c r="Q206" s="322"/>
      <c r="R206" s="322"/>
      <c r="S206" s="322"/>
      <c r="T206" s="322"/>
      <c r="U206" s="322"/>
      <c r="V206" s="322"/>
      <c r="W206" s="322"/>
      <c r="X206" s="322"/>
      <c r="Y206" s="322"/>
      <c r="Z206" s="322"/>
      <c r="AA206" s="322"/>
      <c r="AB206" s="322"/>
      <c r="AC206" s="322"/>
      <c r="AD206" s="322"/>
      <c r="AE206" s="322"/>
      <c r="AF206" s="322"/>
      <c r="AG206" s="322"/>
      <c r="AH206" s="322"/>
      <c r="AI206" s="322"/>
      <c r="AJ206" s="322"/>
      <c r="AK206" s="322"/>
      <c r="AL206" s="322"/>
      <c r="AM206" s="322"/>
      <c r="AN206" s="322"/>
    </row>
    <row r="207" spans="1:40" x14ac:dyDescent="0.3">
      <c r="A207" s="322"/>
      <c r="B207" s="322"/>
      <c r="C207" s="322"/>
      <c r="D207" s="322"/>
      <c r="E207" s="322"/>
      <c r="F207" s="322"/>
      <c r="G207" s="322"/>
      <c r="H207" s="322"/>
      <c r="I207" s="322"/>
      <c r="J207" s="322"/>
      <c r="K207" s="322"/>
      <c r="L207" s="322"/>
      <c r="M207" s="322"/>
      <c r="N207" s="322"/>
      <c r="O207" s="322"/>
      <c r="P207" s="322"/>
      <c r="Q207" s="322"/>
      <c r="R207" s="322"/>
      <c r="S207" s="322"/>
      <c r="T207" s="322"/>
      <c r="U207" s="322"/>
      <c r="V207" s="322"/>
      <c r="W207" s="322"/>
      <c r="X207" s="322"/>
      <c r="Y207" s="322"/>
      <c r="Z207" s="322"/>
      <c r="AA207" s="322"/>
      <c r="AB207" s="322"/>
      <c r="AC207" s="322"/>
      <c r="AD207" s="322"/>
      <c r="AE207" s="322"/>
      <c r="AF207" s="322"/>
      <c r="AG207" s="322"/>
      <c r="AH207" s="322"/>
      <c r="AI207" s="322"/>
      <c r="AJ207" s="322"/>
      <c r="AK207" s="322"/>
      <c r="AL207" s="322"/>
      <c r="AM207" s="322"/>
      <c r="AN207" s="322"/>
    </row>
    <row r="208" spans="1:40" x14ac:dyDescent="0.3">
      <c r="A208" s="322"/>
      <c r="B208" s="322"/>
      <c r="C208" s="322"/>
      <c r="D208" s="322"/>
      <c r="E208" s="322"/>
      <c r="F208" s="322"/>
      <c r="G208" s="322"/>
      <c r="H208" s="322"/>
      <c r="I208" s="322"/>
      <c r="J208" s="322"/>
      <c r="K208" s="322"/>
      <c r="L208" s="322"/>
      <c r="M208" s="322"/>
      <c r="N208" s="322"/>
      <c r="O208" s="322"/>
      <c r="P208" s="322"/>
      <c r="Q208" s="322"/>
      <c r="R208" s="322"/>
      <c r="S208" s="322"/>
      <c r="T208" s="322"/>
      <c r="U208" s="322"/>
      <c r="V208" s="322"/>
      <c r="W208" s="322"/>
      <c r="X208" s="322"/>
      <c r="Y208" s="322"/>
      <c r="Z208" s="322"/>
      <c r="AA208" s="322"/>
      <c r="AB208" s="322"/>
      <c r="AC208" s="322"/>
      <c r="AD208" s="322"/>
      <c r="AE208" s="322"/>
      <c r="AF208" s="322"/>
      <c r="AG208" s="322"/>
      <c r="AH208" s="322"/>
      <c r="AI208" s="322"/>
      <c r="AJ208" s="322"/>
      <c r="AK208" s="322"/>
      <c r="AL208" s="322"/>
      <c r="AM208" s="322"/>
      <c r="AN208" s="322"/>
    </row>
    <row r="209" spans="1:40" x14ac:dyDescent="0.3">
      <c r="A209" s="322"/>
      <c r="B209" s="322"/>
      <c r="C209" s="322"/>
      <c r="D209" s="322"/>
      <c r="E209" s="322"/>
      <c r="F209" s="322"/>
      <c r="G209" s="322"/>
      <c r="H209" s="322"/>
      <c r="I209" s="322"/>
      <c r="J209" s="322"/>
      <c r="K209" s="322"/>
      <c r="L209" s="322"/>
      <c r="M209" s="322"/>
      <c r="N209" s="322"/>
      <c r="O209" s="322"/>
      <c r="P209" s="322"/>
      <c r="Q209" s="322"/>
      <c r="R209" s="322"/>
      <c r="S209" s="322"/>
      <c r="T209" s="322"/>
      <c r="U209" s="322"/>
      <c r="V209" s="322"/>
      <c r="W209" s="322"/>
      <c r="X209" s="322"/>
      <c r="Y209" s="322"/>
      <c r="Z209" s="322"/>
      <c r="AA209" s="322"/>
      <c r="AB209" s="322"/>
      <c r="AC209" s="322"/>
      <c r="AD209" s="322"/>
      <c r="AE209" s="322"/>
      <c r="AF209" s="322"/>
      <c r="AG209" s="322"/>
      <c r="AH209" s="322"/>
      <c r="AI209" s="322"/>
      <c r="AJ209" s="322"/>
      <c r="AK209" s="322"/>
      <c r="AL209" s="322"/>
      <c r="AM209" s="322"/>
      <c r="AN209" s="322"/>
    </row>
    <row r="210" spans="1:40" x14ac:dyDescent="0.3">
      <c r="A210" s="322"/>
      <c r="B210" s="322"/>
      <c r="C210" s="322"/>
      <c r="D210" s="322"/>
      <c r="E210" s="322"/>
      <c r="F210" s="322"/>
      <c r="G210" s="322"/>
      <c r="H210" s="322"/>
      <c r="I210" s="322"/>
      <c r="J210" s="322"/>
      <c r="K210" s="322"/>
      <c r="L210" s="322"/>
      <c r="M210" s="322"/>
      <c r="N210" s="322"/>
      <c r="O210" s="322"/>
      <c r="P210" s="322"/>
      <c r="Q210" s="322"/>
      <c r="R210" s="322"/>
      <c r="S210" s="322"/>
      <c r="T210" s="322"/>
      <c r="U210" s="322"/>
      <c r="V210" s="322"/>
      <c r="W210" s="322"/>
      <c r="X210" s="322"/>
      <c r="Y210" s="322"/>
      <c r="Z210" s="322"/>
      <c r="AA210" s="322"/>
      <c r="AB210" s="322"/>
      <c r="AC210" s="322"/>
      <c r="AD210" s="322"/>
      <c r="AE210" s="322"/>
      <c r="AF210" s="322"/>
      <c r="AG210" s="322"/>
      <c r="AH210" s="322"/>
      <c r="AI210" s="322"/>
      <c r="AJ210" s="322"/>
      <c r="AK210" s="322"/>
      <c r="AL210" s="322"/>
      <c r="AM210" s="322"/>
      <c r="AN210" s="322"/>
    </row>
    <row r="211" spans="1:40" x14ac:dyDescent="0.3">
      <c r="A211" s="322"/>
      <c r="B211" s="322"/>
      <c r="C211" s="322"/>
      <c r="D211" s="322"/>
      <c r="E211" s="322"/>
      <c r="F211" s="322"/>
      <c r="G211" s="322"/>
      <c r="H211" s="322"/>
      <c r="I211" s="322"/>
      <c r="J211" s="322"/>
      <c r="K211" s="322"/>
      <c r="L211" s="322"/>
      <c r="M211" s="322"/>
      <c r="N211" s="322"/>
      <c r="O211" s="322"/>
      <c r="P211" s="322"/>
      <c r="Q211" s="322"/>
      <c r="R211" s="322"/>
      <c r="S211" s="322"/>
      <c r="T211" s="322"/>
      <c r="U211" s="322"/>
      <c r="V211" s="322"/>
      <c r="W211" s="322"/>
      <c r="X211" s="322"/>
      <c r="Y211" s="322"/>
      <c r="Z211" s="322"/>
      <c r="AA211" s="322"/>
      <c r="AB211" s="322"/>
      <c r="AC211" s="322"/>
      <c r="AD211" s="322"/>
      <c r="AE211" s="322"/>
      <c r="AF211" s="322"/>
      <c r="AG211" s="322"/>
      <c r="AH211" s="322"/>
      <c r="AI211" s="322"/>
      <c r="AJ211" s="322"/>
      <c r="AK211" s="322"/>
      <c r="AL211" s="322"/>
      <c r="AM211" s="322"/>
      <c r="AN211" s="322"/>
    </row>
    <row r="212" spans="1:40" x14ac:dyDescent="0.3">
      <c r="A212" s="322"/>
      <c r="B212" s="322"/>
      <c r="C212" s="322"/>
      <c r="D212" s="322"/>
      <c r="E212" s="322"/>
      <c r="F212" s="322"/>
      <c r="G212" s="322"/>
      <c r="H212" s="322"/>
      <c r="I212" s="322"/>
      <c r="J212" s="322"/>
      <c r="K212" s="322"/>
      <c r="L212" s="322"/>
      <c r="M212" s="322"/>
      <c r="N212" s="322"/>
      <c r="O212" s="322"/>
      <c r="P212" s="322"/>
      <c r="Q212" s="322"/>
      <c r="R212" s="322"/>
      <c r="S212" s="322"/>
      <c r="T212" s="322"/>
      <c r="U212" s="322"/>
      <c r="V212" s="322"/>
      <c r="W212" s="322"/>
      <c r="X212" s="322"/>
      <c r="Y212" s="322"/>
      <c r="Z212" s="322"/>
      <c r="AA212" s="322"/>
      <c r="AB212" s="322"/>
      <c r="AC212" s="322"/>
      <c r="AD212" s="322"/>
      <c r="AE212" s="322"/>
      <c r="AF212" s="322"/>
      <c r="AG212" s="322"/>
      <c r="AH212" s="322"/>
      <c r="AI212" s="322"/>
      <c r="AJ212" s="322"/>
      <c r="AK212" s="322"/>
      <c r="AL212" s="322"/>
      <c r="AM212" s="322"/>
      <c r="AN212" s="322"/>
    </row>
    <row r="213" spans="1:40" x14ac:dyDescent="0.3">
      <c r="A213" s="322"/>
      <c r="B213" s="322"/>
      <c r="C213" s="322"/>
      <c r="D213" s="322"/>
      <c r="E213" s="322"/>
      <c r="F213" s="322"/>
      <c r="G213" s="322"/>
      <c r="H213" s="322"/>
      <c r="I213" s="322"/>
      <c r="J213" s="322"/>
      <c r="K213" s="322"/>
      <c r="L213" s="322"/>
      <c r="M213" s="322"/>
      <c r="N213" s="322"/>
      <c r="O213" s="322"/>
      <c r="P213" s="322"/>
      <c r="Q213" s="322"/>
      <c r="R213" s="322"/>
      <c r="S213" s="322"/>
      <c r="T213" s="322"/>
      <c r="U213" s="322"/>
      <c r="V213" s="322"/>
      <c r="W213" s="322"/>
      <c r="X213" s="322"/>
      <c r="Y213" s="322"/>
      <c r="Z213" s="322"/>
      <c r="AA213" s="322"/>
      <c r="AB213" s="322"/>
      <c r="AC213" s="322"/>
      <c r="AD213" s="322"/>
      <c r="AE213" s="322"/>
      <c r="AF213" s="322"/>
      <c r="AG213" s="322"/>
      <c r="AH213" s="322"/>
      <c r="AI213" s="322"/>
      <c r="AJ213" s="322"/>
      <c r="AK213" s="322"/>
      <c r="AL213" s="322"/>
      <c r="AM213" s="322"/>
      <c r="AN213" s="322"/>
    </row>
    <row r="214" spans="1:40" x14ac:dyDescent="0.3">
      <c r="A214" s="322"/>
      <c r="B214" s="322"/>
      <c r="C214" s="322"/>
      <c r="D214" s="322"/>
      <c r="E214" s="322"/>
      <c r="F214" s="322"/>
      <c r="G214" s="322"/>
      <c r="H214" s="322"/>
      <c r="I214" s="322"/>
      <c r="J214" s="322"/>
      <c r="K214" s="322"/>
      <c r="L214" s="322"/>
      <c r="M214" s="322"/>
      <c r="N214" s="322"/>
      <c r="O214" s="322"/>
      <c r="P214" s="322"/>
      <c r="Q214" s="322"/>
      <c r="R214" s="322"/>
      <c r="S214" s="322"/>
      <c r="T214" s="322"/>
      <c r="U214" s="322"/>
      <c r="V214" s="322"/>
      <c r="W214" s="322"/>
      <c r="X214" s="322"/>
      <c r="Y214" s="322"/>
      <c r="Z214" s="322"/>
      <c r="AA214" s="322"/>
      <c r="AB214" s="322"/>
      <c r="AC214" s="322"/>
      <c r="AD214" s="322"/>
      <c r="AE214" s="322"/>
      <c r="AF214" s="322"/>
      <c r="AG214" s="322"/>
      <c r="AH214" s="322"/>
      <c r="AI214" s="322"/>
      <c r="AJ214" s="322"/>
      <c r="AK214" s="322"/>
      <c r="AL214" s="322"/>
      <c r="AM214" s="322"/>
      <c r="AN214" s="322"/>
    </row>
    <row r="215" spans="1:40" x14ac:dyDescent="0.3">
      <c r="A215" s="322"/>
      <c r="B215" s="322"/>
      <c r="C215" s="322"/>
      <c r="D215" s="322"/>
      <c r="E215" s="322"/>
      <c r="F215" s="322"/>
      <c r="G215" s="322"/>
      <c r="H215" s="322"/>
      <c r="I215" s="322"/>
      <c r="J215" s="322"/>
      <c r="K215" s="322"/>
      <c r="L215" s="322"/>
      <c r="M215" s="322"/>
      <c r="N215" s="322"/>
      <c r="O215" s="322"/>
      <c r="P215" s="322"/>
      <c r="Q215" s="322"/>
      <c r="R215" s="322"/>
      <c r="S215" s="322"/>
      <c r="T215" s="322"/>
      <c r="U215" s="322"/>
      <c r="V215" s="322"/>
      <c r="W215" s="322"/>
      <c r="X215" s="322"/>
      <c r="Y215" s="322"/>
      <c r="Z215" s="322"/>
      <c r="AA215" s="322"/>
      <c r="AB215" s="322"/>
      <c r="AC215" s="322"/>
      <c r="AD215" s="322"/>
      <c r="AE215" s="322"/>
      <c r="AF215" s="322"/>
      <c r="AG215" s="322"/>
      <c r="AH215" s="322"/>
      <c r="AI215" s="322"/>
      <c r="AJ215" s="322"/>
      <c r="AK215" s="322"/>
      <c r="AL215" s="322"/>
      <c r="AM215" s="322"/>
      <c r="AN215" s="322"/>
    </row>
    <row r="216" spans="1:40" x14ac:dyDescent="0.3">
      <c r="A216" s="322"/>
      <c r="B216" s="322"/>
      <c r="C216" s="322"/>
      <c r="D216" s="322"/>
      <c r="E216" s="322"/>
      <c r="F216" s="322"/>
      <c r="G216" s="322"/>
      <c r="H216" s="322"/>
      <c r="I216" s="322"/>
      <c r="J216" s="322"/>
      <c r="K216" s="322"/>
      <c r="L216" s="322"/>
      <c r="M216" s="322"/>
      <c r="N216" s="322"/>
      <c r="O216" s="322"/>
      <c r="P216" s="322"/>
      <c r="Q216" s="322"/>
      <c r="R216" s="322"/>
      <c r="S216" s="322"/>
      <c r="T216" s="322"/>
      <c r="U216" s="322"/>
      <c r="V216" s="322"/>
      <c r="W216" s="322"/>
      <c r="X216" s="322"/>
      <c r="Y216" s="322"/>
      <c r="Z216" s="322"/>
      <c r="AA216" s="322"/>
      <c r="AB216" s="322"/>
      <c r="AC216" s="322"/>
      <c r="AD216" s="322"/>
      <c r="AE216" s="322"/>
      <c r="AF216" s="322"/>
      <c r="AG216" s="322"/>
      <c r="AH216" s="322"/>
      <c r="AI216" s="322"/>
      <c r="AJ216" s="322"/>
      <c r="AK216" s="322"/>
      <c r="AL216" s="322"/>
      <c r="AM216" s="322"/>
      <c r="AN216" s="322"/>
    </row>
    <row r="217" spans="1:40" x14ac:dyDescent="0.3">
      <c r="A217" s="322"/>
      <c r="B217" s="322"/>
      <c r="C217" s="322"/>
      <c r="D217" s="322"/>
      <c r="E217" s="322"/>
      <c r="F217" s="322"/>
      <c r="G217" s="322"/>
      <c r="H217" s="322"/>
      <c r="I217" s="322"/>
      <c r="J217" s="322"/>
      <c r="K217" s="322"/>
      <c r="L217" s="322"/>
      <c r="M217" s="322"/>
      <c r="N217" s="322"/>
      <c r="O217" s="322"/>
      <c r="P217" s="322"/>
      <c r="Q217" s="322"/>
      <c r="R217" s="322"/>
      <c r="S217" s="322"/>
      <c r="T217" s="322"/>
      <c r="U217" s="322"/>
      <c r="V217" s="322"/>
      <c r="W217" s="322"/>
      <c r="X217" s="322"/>
      <c r="Y217" s="322"/>
      <c r="Z217" s="322"/>
      <c r="AA217" s="322"/>
      <c r="AB217" s="322"/>
      <c r="AC217" s="322"/>
      <c r="AD217" s="322"/>
      <c r="AE217" s="322"/>
      <c r="AF217" s="322"/>
      <c r="AG217" s="322"/>
      <c r="AH217" s="322"/>
      <c r="AI217" s="322"/>
      <c r="AJ217" s="322"/>
      <c r="AK217" s="322"/>
      <c r="AL217" s="322"/>
      <c r="AM217" s="322"/>
      <c r="AN217" s="322"/>
    </row>
    <row r="218" spans="1:40" x14ac:dyDescent="0.3">
      <c r="A218" s="322"/>
      <c r="B218" s="322"/>
      <c r="C218" s="322"/>
      <c r="D218" s="322"/>
      <c r="E218" s="322"/>
      <c r="F218" s="322"/>
      <c r="G218" s="322"/>
      <c r="H218" s="322"/>
      <c r="I218" s="322"/>
      <c r="J218" s="322"/>
      <c r="K218" s="322"/>
      <c r="L218" s="322"/>
      <c r="M218" s="322"/>
      <c r="N218" s="322"/>
      <c r="O218" s="322"/>
      <c r="P218" s="322"/>
      <c r="Q218" s="322"/>
      <c r="R218" s="322"/>
      <c r="S218" s="322"/>
      <c r="T218" s="322"/>
      <c r="U218" s="322"/>
      <c r="V218" s="322"/>
      <c r="W218" s="322"/>
      <c r="X218" s="322"/>
      <c r="Y218" s="322"/>
      <c r="Z218" s="322"/>
      <c r="AA218" s="322"/>
      <c r="AB218" s="322"/>
      <c r="AC218" s="322"/>
      <c r="AD218" s="322"/>
      <c r="AE218" s="322"/>
      <c r="AF218" s="322"/>
      <c r="AG218" s="322"/>
      <c r="AH218" s="322"/>
      <c r="AI218" s="322"/>
      <c r="AJ218" s="322"/>
      <c r="AK218" s="322"/>
      <c r="AL218" s="322"/>
      <c r="AM218" s="322"/>
      <c r="AN218" s="322"/>
    </row>
    <row r="219" spans="1:40" x14ac:dyDescent="0.3">
      <c r="A219" s="322"/>
      <c r="B219" s="322"/>
      <c r="C219" s="322"/>
      <c r="D219" s="322"/>
      <c r="E219" s="322"/>
      <c r="F219" s="322"/>
      <c r="G219" s="322"/>
      <c r="H219" s="322"/>
      <c r="I219" s="322"/>
      <c r="J219" s="322"/>
      <c r="K219" s="322"/>
      <c r="L219" s="322"/>
      <c r="M219" s="322"/>
      <c r="N219" s="322"/>
      <c r="O219" s="322"/>
      <c r="P219" s="322"/>
      <c r="Q219" s="322"/>
      <c r="R219" s="322"/>
      <c r="S219" s="322"/>
      <c r="T219" s="322"/>
      <c r="U219" s="322"/>
      <c r="V219" s="322"/>
      <c r="W219" s="322"/>
      <c r="X219" s="322"/>
      <c r="Y219" s="322"/>
      <c r="Z219" s="322"/>
      <c r="AA219" s="322"/>
      <c r="AB219" s="322"/>
      <c r="AC219" s="322"/>
      <c r="AD219" s="322"/>
      <c r="AE219" s="322"/>
      <c r="AF219" s="322"/>
      <c r="AG219" s="322"/>
      <c r="AH219" s="322"/>
      <c r="AI219" s="322"/>
      <c r="AJ219" s="322"/>
      <c r="AK219" s="322"/>
      <c r="AL219" s="322"/>
      <c r="AM219" s="322"/>
      <c r="AN219" s="322"/>
    </row>
    <row r="220" spans="1:40" x14ac:dyDescent="0.3">
      <c r="A220" s="322"/>
      <c r="B220" s="322"/>
      <c r="C220" s="322"/>
      <c r="D220" s="322"/>
      <c r="E220" s="322"/>
      <c r="F220" s="322"/>
      <c r="G220" s="322"/>
      <c r="H220" s="322"/>
      <c r="I220" s="322"/>
      <c r="J220" s="322"/>
      <c r="K220" s="322"/>
      <c r="L220" s="322"/>
      <c r="M220" s="322"/>
      <c r="N220" s="322"/>
      <c r="O220" s="322"/>
      <c r="P220" s="322"/>
      <c r="Q220" s="322"/>
      <c r="R220" s="322"/>
      <c r="S220" s="322"/>
      <c r="T220" s="322"/>
      <c r="U220" s="322"/>
      <c r="V220" s="322"/>
      <c r="W220" s="322"/>
      <c r="X220" s="322"/>
      <c r="Y220" s="322"/>
      <c r="Z220" s="322"/>
      <c r="AA220" s="322"/>
      <c r="AB220" s="322"/>
      <c r="AC220" s="322"/>
      <c r="AD220" s="322"/>
      <c r="AE220" s="322"/>
      <c r="AF220" s="322"/>
      <c r="AG220" s="322"/>
      <c r="AH220" s="322"/>
      <c r="AI220" s="322"/>
      <c r="AJ220" s="322"/>
      <c r="AK220" s="322"/>
      <c r="AL220" s="322"/>
      <c r="AM220" s="322"/>
      <c r="AN220" s="322"/>
    </row>
    <row r="221" spans="1:40" x14ac:dyDescent="0.3">
      <c r="A221" s="322"/>
      <c r="B221" s="322"/>
      <c r="C221" s="322"/>
      <c r="D221" s="322"/>
      <c r="E221" s="322"/>
      <c r="F221" s="322"/>
      <c r="G221" s="322"/>
      <c r="H221" s="322"/>
      <c r="I221" s="322"/>
      <c r="J221" s="322"/>
      <c r="K221" s="322"/>
      <c r="L221" s="322"/>
      <c r="M221" s="322"/>
      <c r="N221" s="322"/>
      <c r="O221" s="322"/>
      <c r="P221" s="322"/>
      <c r="Q221" s="322"/>
      <c r="R221" s="322"/>
      <c r="S221" s="322"/>
      <c r="T221" s="322"/>
      <c r="U221" s="322"/>
      <c r="V221" s="322"/>
      <c r="W221" s="322"/>
      <c r="X221" s="322"/>
      <c r="Y221" s="322"/>
      <c r="Z221" s="322"/>
      <c r="AA221" s="322"/>
      <c r="AB221" s="322"/>
      <c r="AC221" s="322"/>
      <c r="AD221" s="322"/>
      <c r="AE221" s="322"/>
      <c r="AF221" s="322"/>
      <c r="AG221" s="322"/>
      <c r="AH221" s="322"/>
      <c r="AI221" s="322"/>
      <c r="AJ221" s="322"/>
      <c r="AK221" s="322"/>
      <c r="AL221" s="322"/>
      <c r="AM221" s="322"/>
      <c r="AN221" s="322"/>
    </row>
    <row r="222" spans="1:40" x14ac:dyDescent="0.3">
      <c r="A222" s="322"/>
      <c r="B222" s="322"/>
      <c r="C222" s="322"/>
      <c r="D222" s="322"/>
      <c r="E222" s="322"/>
      <c r="F222" s="322"/>
      <c r="G222" s="322"/>
      <c r="H222" s="322"/>
      <c r="I222" s="322"/>
      <c r="J222" s="322"/>
      <c r="K222" s="322"/>
      <c r="L222" s="322"/>
      <c r="M222" s="322"/>
      <c r="N222" s="322"/>
      <c r="O222" s="322"/>
      <c r="P222" s="322"/>
      <c r="Q222" s="322"/>
      <c r="R222" s="322"/>
      <c r="S222" s="322"/>
      <c r="T222" s="322"/>
      <c r="U222" s="322"/>
      <c r="V222" s="322"/>
      <c r="W222" s="322"/>
      <c r="X222" s="322"/>
      <c r="Y222" s="322"/>
      <c r="Z222" s="322"/>
      <c r="AA222" s="322"/>
      <c r="AB222" s="322"/>
      <c r="AC222" s="322"/>
      <c r="AD222" s="322"/>
      <c r="AE222" s="322"/>
      <c r="AF222" s="322"/>
      <c r="AG222" s="322"/>
      <c r="AH222" s="322"/>
      <c r="AI222" s="322"/>
      <c r="AJ222" s="322"/>
      <c r="AK222" s="322"/>
      <c r="AL222" s="322"/>
      <c r="AM222" s="322"/>
      <c r="AN222" s="322"/>
    </row>
    <row r="223" spans="1:40" x14ac:dyDescent="0.3">
      <c r="A223" s="322"/>
      <c r="B223" s="322"/>
      <c r="C223" s="322"/>
      <c r="D223" s="322"/>
      <c r="E223" s="322"/>
      <c r="F223" s="322"/>
      <c r="G223" s="322"/>
      <c r="H223" s="322"/>
      <c r="I223" s="322"/>
      <c r="J223" s="322"/>
      <c r="K223" s="322"/>
      <c r="L223" s="322"/>
      <c r="M223" s="322"/>
      <c r="N223" s="322"/>
      <c r="O223" s="322"/>
      <c r="P223" s="322"/>
      <c r="Q223" s="322"/>
      <c r="R223" s="322"/>
      <c r="S223" s="322"/>
      <c r="T223" s="322"/>
      <c r="U223" s="322"/>
      <c r="V223" s="322"/>
      <c r="W223" s="322"/>
      <c r="X223" s="322"/>
      <c r="Y223" s="322"/>
      <c r="Z223" s="322"/>
      <c r="AA223" s="322"/>
      <c r="AB223" s="322"/>
      <c r="AC223" s="322"/>
      <c r="AD223" s="322"/>
      <c r="AE223" s="322"/>
      <c r="AF223" s="322"/>
      <c r="AG223" s="322"/>
      <c r="AH223" s="322"/>
      <c r="AI223" s="322"/>
      <c r="AJ223" s="322"/>
      <c r="AK223" s="322"/>
      <c r="AL223" s="322"/>
      <c r="AM223" s="322"/>
      <c r="AN223" s="322"/>
    </row>
    <row r="224" spans="1:40" x14ac:dyDescent="0.3">
      <c r="A224" s="322"/>
      <c r="B224" s="322"/>
      <c r="C224" s="322"/>
      <c r="D224" s="322"/>
      <c r="E224" s="322"/>
      <c r="F224" s="322"/>
      <c r="G224" s="322"/>
      <c r="H224" s="322"/>
      <c r="I224" s="322"/>
      <c r="J224" s="322"/>
      <c r="K224" s="322"/>
      <c r="L224" s="322"/>
      <c r="M224" s="322"/>
      <c r="N224" s="322"/>
      <c r="O224" s="322"/>
      <c r="P224" s="322"/>
      <c r="Q224" s="322"/>
      <c r="R224" s="322"/>
      <c r="S224" s="322"/>
      <c r="T224" s="322"/>
      <c r="U224" s="322"/>
      <c r="V224" s="322"/>
      <c r="W224" s="322"/>
      <c r="X224" s="322"/>
      <c r="Y224" s="322"/>
      <c r="Z224" s="322"/>
      <c r="AA224" s="322"/>
      <c r="AB224" s="322"/>
      <c r="AC224" s="322"/>
      <c r="AD224" s="322"/>
      <c r="AE224" s="322"/>
      <c r="AF224" s="322"/>
      <c r="AG224" s="322"/>
      <c r="AH224" s="322"/>
      <c r="AI224" s="322"/>
      <c r="AJ224" s="322"/>
      <c r="AK224" s="322"/>
      <c r="AL224" s="322"/>
      <c r="AM224" s="322"/>
      <c r="AN224" s="322"/>
    </row>
    <row r="225" spans="1:40" x14ac:dyDescent="0.3">
      <c r="A225" s="322"/>
      <c r="B225" s="322"/>
      <c r="C225" s="322"/>
      <c r="D225" s="322"/>
      <c r="E225" s="322"/>
      <c r="F225" s="322"/>
      <c r="G225" s="322"/>
      <c r="H225" s="322"/>
      <c r="I225" s="322"/>
      <c r="J225" s="322"/>
      <c r="K225" s="322"/>
      <c r="L225" s="322"/>
      <c r="M225" s="322"/>
      <c r="N225" s="322"/>
      <c r="O225" s="322"/>
      <c r="P225" s="322"/>
      <c r="Q225" s="322"/>
      <c r="R225" s="322"/>
      <c r="S225" s="322"/>
      <c r="T225" s="322"/>
      <c r="U225" s="322"/>
      <c r="V225" s="322"/>
      <c r="W225" s="322"/>
      <c r="X225" s="322"/>
      <c r="Y225" s="322"/>
      <c r="Z225" s="322"/>
      <c r="AA225" s="322"/>
      <c r="AB225" s="322"/>
      <c r="AC225" s="322"/>
      <c r="AD225" s="322"/>
      <c r="AE225" s="322"/>
      <c r="AF225" s="322"/>
      <c r="AG225" s="322"/>
      <c r="AH225" s="322"/>
      <c r="AI225" s="322"/>
      <c r="AJ225" s="322"/>
      <c r="AK225" s="322"/>
      <c r="AL225" s="322"/>
      <c r="AM225" s="322"/>
      <c r="AN225" s="322"/>
    </row>
    <row r="226" spans="1:40" x14ac:dyDescent="0.3">
      <c r="A226" s="322"/>
      <c r="B226" s="322"/>
      <c r="C226" s="322"/>
      <c r="D226" s="322"/>
      <c r="E226" s="322"/>
      <c r="F226" s="322"/>
      <c r="G226" s="322"/>
      <c r="H226" s="322"/>
      <c r="I226" s="322"/>
      <c r="J226" s="322"/>
      <c r="K226" s="322"/>
      <c r="L226" s="322"/>
      <c r="M226" s="322"/>
      <c r="N226" s="322"/>
      <c r="O226" s="322"/>
      <c r="P226" s="322"/>
      <c r="Q226" s="322"/>
      <c r="R226" s="322"/>
      <c r="S226" s="322"/>
      <c r="T226" s="322"/>
      <c r="U226" s="322"/>
      <c r="V226" s="322"/>
      <c r="W226" s="322"/>
      <c r="X226" s="322"/>
      <c r="Y226" s="322"/>
      <c r="Z226" s="322"/>
      <c r="AA226" s="322"/>
      <c r="AB226" s="322"/>
      <c r="AC226" s="322"/>
      <c r="AD226" s="322"/>
      <c r="AE226" s="322"/>
      <c r="AF226" s="322"/>
      <c r="AG226" s="322"/>
      <c r="AH226" s="322"/>
      <c r="AI226" s="322"/>
      <c r="AJ226" s="322"/>
      <c r="AK226" s="322"/>
      <c r="AL226" s="322"/>
      <c r="AM226" s="322"/>
      <c r="AN226" s="322"/>
    </row>
    <row r="227" spans="1:40" x14ac:dyDescent="0.3">
      <c r="A227" s="322"/>
      <c r="B227" s="322"/>
      <c r="C227" s="322"/>
      <c r="D227" s="322"/>
      <c r="E227" s="322"/>
      <c r="F227" s="322"/>
      <c r="G227" s="322"/>
      <c r="H227" s="322"/>
      <c r="I227" s="322"/>
      <c r="J227" s="322"/>
      <c r="K227" s="322"/>
      <c r="L227" s="322"/>
      <c r="M227" s="322"/>
      <c r="N227" s="322"/>
      <c r="O227" s="322"/>
      <c r="P227" s="322"/>
      <c r="Q227" s="322"/>
      <c r="R227" s="322"/>
      <c r="S227" s="322"/>
      <c r="T227" s="322"/>
      <c r="U227" s="322"/>
      <c r="V227" s="322"/>
      <c r="W227" s="322"/>
      <c r="X227" s="322"/>
      <c r="Y227" s="322"/>
      <c r="Z227" s="322"/>
      <c r="AA227" s="322"/>
      <c r="AB227" s="322"/>
      <c r="AC227" s="322"/>
      <c r="AD227" s="322"/>
      <c r="AE227" s="322"/>
      <c r="AF227" s="322"/>
      <c r="AG227" s="322"/>
      <c r="AH227" s="322"/>
      <c r="AI227" s="322"/>
      <c r="AJ227" s="322"/>
      <c r="AK227" s="322"/>
      <c r="AL227" s="322"/>
      <c r="AM227" s="322"/>
      <c r="AN227" s="322"/>
    </row>
    <row r="228" spans="1:40" x14ac:dyDescent="0.3">
      <c r="A228" s="322"/>
      <c r="B228" s="322"/>
      <c r="C228" s="322"/>
      <c r="D228" s="322"/>
      <c r="E228" s="322"/>
      <c r="F228" s="322"/>
      <c r="G228" s="322"/>
      <c r="H228" s="322"/>
      <c r="I228" s="322"/>
      <c r="J228" s="322"/>
      <c r="K228" s="322"/>
      <c r="L228" s="322"/>
      <c r="M228" s="322"/>
      <c r="N228" s="322"/>
      <c r="O228" s="322"/>
      <c r="P228" s="322"/>
      <c r="Q228" s="322"/>
      <c r="R228" s="322"/>
      <c r="S228" s="322"/>
      <c r="T228" s="322"/>
      <c r="U228" s="322"/>
      <c r="V228" s="322"/>
      <c r="W228" s="322"/>
      <c r="X228" s="322"/>
      <c r="Y228" s="322"/>
      <c r="Z228" s="322"/>
      <c r="AA228" s="322"/>
      <c r="AB228" s="322"/>
      <c r="AC228" s="322"/>
      <c r="AD228" s="322"/>
      <c r="AE228" s="322"/>
      <c r="AF228" s="322"/>
      <c r="AG228" s="322"/>
      <c r="AH228" s="322"/>
      <c r="AI228" s="322"/>
      <c r="AJ228" s="322"/>
      <c r="AK228" s="322"/>
      <c r="AL228" s="322"/>
      <c r="AM228" s="322"/>
      <c r="AN228" s="322"/>
    </row>
    <row r="229" spans="1:40" x14ac:dyDescent="0.3">
      <c r="A229" s="322"/>
      <c r="B229" s="322"/>
      <c r="C229" s="322"/>
      <c r="D229" s="322"/>
      <c r="E229" s="322"/>
      <c r="F229" s="322"/>
      <c r="G229" s="322"/>
      <c r="H229" s="322"/>
      <c r="I229" s="322"/>
      <c r="J229" s="322"/>
      <c r="K229" s="322"/>
      <c r="L229" s="322"/>
      <c r="M229" s="322"/>
      <c r="N229" s="322"/>
      <c r="O229" s="322"/>
      <c r="P229" s="322"/>
      <c r="Q229" s="322"/>
      <c r="R229" s="322"/>
      <c r="S229" s="322"/>
      <c r="T229" s="322"/>
      <c r="U229" s="322"/>
      <c r="V229" s="322"/>
      <c r="W229" s="322"/>
      <c r="X229" s="322"/>
      <c r="Y229" s="322"/>
      <c r="Z229" s="322"/>
      <c r="AA229" s="322"/>
      <c r="AB229" s="322"/>
      <c r="AC229" s="322"/>
      <c r="AD229" s="322"/>
      <c r="AE229" s="322"/>
      <c r="AF229" s="322"/>
      <c r="AG229" s="322"/>
      <c r="AH229" s="322"/>
      <c r="AI229" s="322"/>
      <c r="AJ229" s="322"/>
      <c r="AK229" s="322"/>
      <c r="AL229" s="322"/>
      <c r="AM229" s="322"/>
      <c r="AN229" s="322"/>
    </row>
    <row r="230" spans="1:40" x14ac:dyDescent="0.3">
      <c r="A230" s="322"/>
      <c r="B230" s="322"/>
      <c r="C230" s="322"/>
      <c r="D230" s="322"/>
      <c r="E230" s="322"/>
      <c r="F230" s="322"/>
      <c r="G230" s="322"/>
      <c r="H230" s="322"/>
      <c r="I230" s="322"/>
      <c r="J230" s="322"/>
      <c r="K230" s="322"/>
      <c r="L230" s="322"/>
      <c r="M230" s="322"/>
      <c r="N230" s="322"/>
      <c r="O230" s="322"/>
      <c r="P230" s="322"/>
      <c r="Q230" s="322"/>
      <c r="R230" s="322"/>
      <c r="S230" s="322"/>
      <c r="T230" s="322"/>
      <c r="U230" s="322"/>
      <c r="V230" s="322"/>
      <c r="W230" s="322"/>
      <c r="X230" s="322"/>
      <c r="Y230" s="322"/>
      <c r="Z230" s="322"/>
      <c r="AA230" s="322"/>
      <c r="AB230" s="322"/>
      <c r="AC230" s="322"/>
      <c r="AD230" s="322"/>
      <c r="AE230" s="322"/>
      <c r="AF230" s="322"/>
      <c r="AG230" s="322"/>
      <c r="AH230" s="322"/>
      <c r="AI230" s="322"/>
      <c r="AJ230" s="322"/>
      <c r="AK230" s="322"/>
      <c r="AL230" s="322"/>
      <c r="AM230" s="322"/>
      <c r="AN230" s="322"/>
    </row>
    <row r="231" spans="1:40" x14ac:dyDescent="0.3">
      <c r="A231" s="322"/>
      <c r="B231" s="322"/>
      <c r="C231" s="322"/>
      <c r="D231" s="322"/>
      <c r="E231" s="322"/>
      <c r="F231" s="322"/>
      <c r="G231" s="322"/>
      <c r="H231" s="322"/>
      <c r="I231" s="322"/>
      <c r="J231" s="322"/>
      <c r="K231" s="322"/>
      <c r="L231" s="322"/>
      <c r="M231" s="322"/>
      <c r="N231" s="322"/>
      <c r="O231" s="322"/>
      <c r="P231" s="322"/>
      <c r="Q231" s="322"/>
      <c r="R231" s="322"/>
      <c r="S231" s="322"/>
      <c r="T231" s="322"/>
      <c r="U231" s="322"/>
      <c r="V231" s="322"/>
      <c r="W231" s="322"/>
      <c r="X231" s="322"/>
      <c r="Y231" s="322"/>
      <c r="Z231" s="322"/>
      <c r="AA231" s="322"/>
      <c r="AB231" s="322"/>
      <c r="AC231" s="322"/>
      <c r="AD231" s="322"/>
      <c r="AE231" s="322"/>
      <c r="AF231" s="322"/>
      <c r="AG231" s="322"/>
      <c r="AH231" s="322"/>
      <c r="AI231" s="322"/>
      <c r="AJ231" s="322"/>
      <c r="AK231" s="322"/>
      <c r="AL231" s="322"/>
      <c r="AM231" s="322"/>
      <c r="AN231" s="322"/>
    </row>
  </sheetData>
  <mergeCells count="472">
    <mergeCell ref="A141:AN231"/>
    <mergeCell ref="A1:AL2"/>
    <mergeCell ref="K131:M131"/>
    <mergeCell ref="V130:V132"/>
    <mergeCell ref="AA130:AA132"/>
    <mergeCell ref="AD131:AM132"/>
    <mergeCell ref="R120:R121"/>
    <mergeCell ref="X120:Y121"/>
    <mergeCell ref="AD121:AM121"/>
    <mergeCell ref="AD127:AM127"/>
    <mergeCell ref="AA126:AA127"/>
    <mergeCell ref="Z124:Z127"/>
    <mergeCell ref="Y124:Y127"/>
    <mergeCell ref="P124:Q124"/>
    <mergeCell ref="T122:T124"/>
    <mergeCell ref="AD124:AM124"/>
    <mergeCell ref="A16:A26"/>
    <mergeCell ref="B16:AM16"/>
    <mergeCell ref="A129:A132"/>
    <mergeCell ref="B129:AM129"/>
    <mergeCell ref="AD130:AM130"/>
    <mergeCell ref="W6:X6"/>
    <mergeCell ref="AC130:AC132"/>
    <mergeCell ref="P130:P132"/>
    <mergeCell ref="AD122:AM122"/>
    <mergeCell ref="W122:Z123"/>
    <mergeCell ref="AD123:AM123"/>
    <mergeCell ref="O121:O123"/>
    <mergeCell ref="P123:Q123"/>
    <mergeCell ref="L120:N120"/>
    <mergeCell ref="P116:Q116"/>
    <mergeCell ref="AD116:AM116"/>
    <mergeCell ref="AD117:AM117"/>
    <mergeCell ref="AD120:AM120"/>
    <mergeCell ref="K121:N121"/>
    <mergeCell ref="A139:AM139"/>
    <mergeCell ref="A28:A47"/>
    <mergeCell ref="Z43:Z45"/>
    <mergeCell ref="K45:N45"/>
    <mergeCell ref="L34:N34"/>
    <mergeCell ref="Z71:Z72"/>
    <mergeCell ref="AD72:AM72"/>
    <mergeCell ref="AD64:AM65"/>
    <mergeCell ref="K66:M69"/>
    <mergeCell ref="P64:Q65"/>
    <mergeCell ref="A63:A72"/>
    <mergeCell ref="B63:AM63"/>
    <mergeCell ref="AC64:AC72"/>
    <mergeCell ref="F64:F72"/>
    <mergeCell ref="A133:AM133"/>
    <mergeCell ref="Z130:Z132"/>
    <mergeCell ref="A128:AM128"/>
    <mergeCell ref="A118:AM118"/>
    <mergeCell ref="A119:A127"/>
    <mergeCell ref="B119:AM119"/>
    <mergeCell ref="A113:AM113"/>
    <mergeCell ref="A114:A117"/>
    <mergeCell ref="B114:AM114"/>
    <mergeCell ref="K115:N115"/>
    <mergeCell ref="B29:AM29"/>
    <mergeCell ref="J30:J31"/>
    <mergeCell ref="A27:AM27"/>
    <mergeCell ref="AD32:AM32"/>
    <mergeCell ref="K13:N13"/>
    <mergeCell ref="B54:AM54"/>
    <mergeCell ref="A106:AM106"/>
    <mergeCell ref="E116:E117"/>
    <mergeCell ref="A107:A112"/>
    <mergeCell ref="B107:AM107"/>
    <mergeCell ref="P58:Q58"/>
    <mergeCell ref="K59:U59"/>
    <mergeCell ref="J66:J69"/>
    <mergeCell ref="P115:Q115"/>
    <mergeCell ref="W115:Z115"/>
    <mergeCell ref="AD115:AM115"/>
    <mergeCell ref="B96:AM96"/>
    <mergeCell ref="A96:A99"/>
    <mergeCell ref="B83:AM83"/>
    <mergeCell ref="I84:M84"/>
    <mergeCell ref="AC84:AC87"/>
    <mergeCell ref="AD84:AM84"/>
    <mergeCell ref="AD85:AM85"/>
    <mergeCell ref="AD87:AM87"/>
    <mergeCell ref="K9:M9"/>
    <mergeCell ref="N6:N10"/>
    <mergeCell ref="X9:X13"/>
    <mergeCell ref="R10:R14"/>
    <mergeCell ref="R6:R8"/>
    <mergeCell ref="K7:M7"/>
    <mergeCell ref="K8:M8"/>
    <mergeCell ref="C10:D12"/>
    <mergeCell ref="W14:Z14"/>
    <mergeCell ref="O6:O9"/>
    <mergeCell ref="O11:O12"/>
    <mergeCell ref="Z7:Z8"/>
    <mergeCell ref="K11:M11"/>
    <mergeCell ref="A134:A138"/>
    <mergeCell ref="B134:AM134"/>
    <mergeCell ref="H130:H132"/>
    <mergeCell ref="B5:AQ5"/>
    <mergeCell ref="L51:M51"/>
    <mergeCell ref="A101:A105"/>
    <mergeCell ref="B101:AM101"/>
    <mergeCell ref="P47:Q47"/>
    <mergeCell ref="AD47:AM47"/>
    <mergeCell ref="L36:N36"/>
    <mergeCell ref="P36:Q36"/>
    <mergeCell ref="T33:T36"/>
    <mergeCell ref="W44:X44"/>
    <mergeCell ref="K44:N44"/>
    <mergeCell ref="P44:Q44"/>
    <mergeCell ref="R40:R45"/>
    <mergeCell ref="T41:T44"/>
    <mergeCell ref="AD44:AM44"/>
    <mergeCell ref="AD45:AM45"/>
    <mergeCell ref="X72:Y72"/>
    <mergeCell ref="H64:H71"/>
    <mergeCell ref="K12:M12"/>
    <mergeCell ref="A5:A14"/>
    <mergeCell ref="T7:T14"/>
    <mergeCell ref="T77:T81"/>
    <mergeCell ref="R75:R79"/>
    <mergeCell ref="AD86:AM86"/>
    <mergeCell ref="V84:V87"/>
    <mergeCell ref="T75:T76"/>
    <mergeCell ref="I81:M81"/>
    <mergeCell ref="W81:Z81"/>
    <mergeCell ref="A54:A61"/>
    <mergeCell ref="Z75:Z77"/>
    <mergeCell ref="P79:Q79"/>
    <mergeCell ref="W78:Z79"/>
    <mergeCell ref="A74:A81"/>
    <mergeCell ref="B74:AM74"/>
    <mergeCell ref="AD75:AM75"/>
    <mergeCell ref="AD76:AM76"/>
    <mergeCell ref="AD79:AM79"/>
    <mergeCell ref="AD60:AM60"/>
    <mergeCell ref="A62:AM62"/>
    <mergeCell ref="AC55:AC61"/>
    <mergeCell ref="W71:X71"/>
    <mergeCell ref="I75:I76"/>
    <mergeCell ref="X80:Y80"/>
    <mergeCell ref="W75:W76"/>
    <mergeCell ref="X75:Y77"/>
    <mergeCell ref="P75:Q76"/>
    <mergeCell ref="P66:Q69"/>
    <mergeCell ref="O68:O69"/>
    <mergeCell ref="A73:AM73"/>
    <mergeCell ref="G64:G65"/>
    <mergeCell ref="W33:X33"/>
    <mergeCell ref="AD33:AM33"/>
    <mergeCell ref="AD34:AM34"/>
    <mergeCell ref="A49:A52"/>
    <mergeCell ref="B49:AM49"/>
    <mergeCell ref="W51:Z51"/>
    <mergeCell ref="AC50:AC52"/>
    <mergeCell ref="AD50:AM50"/>
    <mergeCell ref="A48:AM48"/>
    <mergeCell ref="C51:D51"/>
    <mergeCell ref="C52:D52"/>
    <mergeCell ref="K50:M50"/>
    <mergeCell ref="K39:M39"/>
    <mergeCell ref="W39:Z39"/>
    <mergeCell ref="AA40:AA41"/>
    <mergeCell ref="L40:M40"/>
    <mergeCell ref="L41:M41"/>
    <mergeCell ref="X41:Y41"/>
    <mergeCell ref="V50:V51"/>
    <mergeCell ref="C18:D18"/>
    <mergeCell ref="K17:N17"/>
    <mergeCell ref="K18:Y18"/>
    <mergeCell ref="T19:T21"/>
    <mergeCell ref="K14:M14"/>
    <mergeCell ref="AD24:AM26"/>
    <mergeCell ref="Z17:Z18"/>
    <mergeCell ref="AD23:AM23"/>
    <mergeCell ref="V24:V26"/>
    <mergeCell ref="E23:E26"/>
    <mergeCell ref="O24:Q24"/>
    <mergeCell ref="P25:Q25"/>
    <mergeCell ref="K26:L26"/>
    <mergeCell ref="A15:AM15"/>
    <mergeCell ref="AC13:AC14"/>
    <mergeCell ref="AD14:AM14"/>
    <mergeCell ref="K24:N24"/>
    <mergeCell ref="P26:Q26"/>
    <mergeCell ref="K25:M25"/>
    <mergeCell ref="X23:X26"/>
    <mergeCell ref="AD20:AM20"/>
    <mergeCell ref="AD13:AM13"/>
    <mergeCell ref="O23:Q23"/>
    <mergeCell ref="AD11:AM11"/>
    <mergeCell ref="AD21:AM21"/>
    <mergeCell ref="AD22:AM22"/>
    <mergeCell ref="AD17:AM17"/>
    <mergeCell ref="AD18:AM18"/>
    <mergeCell ref="AD19:AM19"/>
    <mergeCell ref="AC17:AC26"/>
    <mergeCell ref="T23:T26"/>
    <mergeCell ref="R19:R26"/>
    <mergeCell ref="Y6:Y13"/>
    <mergeCell ref="AD12:AM12"/>
    <mergeCell ref="W11:W13"/>
    <mergeCell ref="AD7:AM7"/>
    <mergeCell ref="AD8:AM8"/>
    <mergeCell ref="AD6:AM6"/>
    <mergeCell ref="Z9:Z13"/>
    <mergeCell ref="AD10:AM10"/>
    <mergeCell ref="AC8:AC9"/>
    <mergeCell ref="AD9:AM9"/>
    <mergeCell ref="Y25:Y26"/>
    <mergeCell ref="K23:N23"/>
    <mergeCell ref="B28:AM28"/>
    <mergeCell ref="Z40:Z41"/>
    <mergeCell ref="W42:Z42"/>
    <mergeCell ref="AD42:AM42"/>
    <mergeCell ref="K6:M6"/>
    <mergeCell ref="J7:J8"/>
    <mergeCell ref="Q7:Q8"/>
    <mergeCell ref="AA7:AA8"/>
    <mergeCell ref="C24:D26"/>
    <mergeCell ref="Z25:Z26"/>
    <mergeCell ref="V6:V11"/>
    <mergeCell ref="AB23:AB26"/>
    <mergeCell ref="P20:Q20"/>
    <mergeCell ref="W20:X20"/>
    <mergeCell ref="Y19:Y21"/>
    <mergeCell ref="I19:M19"/>
    <mergeCell ref="K20:L20"/>
    <mergeCell ref="K21:M21"/>
    <mergeCell ref="K22:L22"/>
    <mergeCell ref="Y30:Y34"/>
    <mergeCell ref="L32:N32"/>
    <mergeCell ref="K30:K31"/>
    <mergeCell ref="V19:V21"/>
    <mergeCell ref="A3:A4"/>
    <mergeCell ref="E3:E4"/>
    <mergeCell ref="F3:F4"/>
    <mergeCell ref="AD3:AM4"/>
    <mergeCell ref="Z3:Z4"/>
    <mergeCell ref="AA3:AA4"/>
    <mergeCell ref="AB3:AB4"/>
    <mergeCell ref="AC3:AC4"/>
    <mergeCell ref="W3:Y3"/>
    <mergeCell ref="I3:V3"/>
    <mergeCell ref="B3:B4"/>
    <mergeCell ref="C3:C4"/>
    <mergeCell ref="H3:H4"/>
    <mergeCell ref="G3:G4"/>
    <mergeCell ref="D3:D4"/>
    <mergeCell ref="O19:O20"/>
    <mergeCell ref="A100:AM100"/>
    <mergeCell ref="X97:Y97"/>
    <mergeCell ref="AC97:AC99"/>
    <mergeCell ref="O97:O99"/>
    <mergeCell ref="W98:Z99"/>
    <mergeCell ref="V97:V99"/>
    <mergeCell ref="E97:E98"/>
    <mergeCell ref="L97:M97"/>
    <mergeCell ref="K99:M99"/>
    <mergeCell ref="K98:N98"/>
    <mergeCell ref="AD97:AM99"/>
    <mergeCell ref="AD35:AM37"/>
    <mergeCell ref="AC30:AC37"/>
    <mergeCell ref="Z30:Z32"/>
    <mergeCell ref="V75:V76"/>
    <mergeCell ref="AD80:AM80"/>
    <mergeCell ref="AD81:AM81"/>
    <mergeCell ref="K80:M80"/>
    <mergeCell ref="U75:U76"/>
    <mergeCell ref="R30:R32"/>
    <mergeCell ref="Z64:Z69"/>
    <mergeCell ref="AD39:AM39"/>
    <mergeCell ref="O39:O45"/>
    <mergeCell ref="K72:M72"/>
    <mergeCell ref="AD52:AM52"/>
    <mergeCell ref="W55:Z57"/>
    <mergeCell ref="R55:R57"/>
    <mergeCell ref="V55:V56"/>
    <mergeCell ref="V64:V71"/>
    <mergeCell ref="X59:Y59"/>
    <mergeCell ref="X60:Y60"/>
    <mergeCell ref="P57:Q57"/>
    <mergeCell ref="K61:M61"/>
    <mergeCell ref="P61:Q61"/>
    <mergeCell ref="A53:AM53"/>
    <mergeCell ref="J64:J65"/>
    <mergeCell ref="K64:M65"/>
    <mergeCell ref="K58:N58"/>
    <mergeCell ref="X58:Y58"/>
    <mergeCell ref="T55:T58"/>
    <mergeCell ref="AD61:AM61"/>
    <mergeCell ref="Z59:Z61"/>
    <mergeCell ref="AD58:AM58"/>
    <mergeCell ref="I60:R60"/>
    <mergeCell ref="AD59:AM59"/>
    <mergeCell ref="AD70:AM70"/>
    <mergeCell ref="AD66:AM67"/>
    <mergeCell ref="P30:Q31"/>
    <mergeCell ref="V30:V34"/>
    <mergeCell ref="V42:V43"/>
    <mergeCell ref="T37:U37"/>
    <mergeCell ref="K37:M37"/>
    <mergeCell ref="P37:Q37"/>
    <mergeCell ref="L35:N35"/>
    <mergeCell ref="W35:Z37"/>
    <mergeCell ref="R33:R37"/>
    <mergeCell ref="L33:N33"/>
    <mergeCell ref="B38:AM38"/>
    <mergeCell ref="L30:N31"/>
    <mergeCell ref="O30:O31"/>
    <mergeCell ref="U30:U31"/>
    <mergeCell ref="W30:X31"/>
    <mergeCell ref="AD30:AM31"/>
    <mergeCell ref="AD43:AM43"/>
    <mergeCell ref="A88:AM88"/>
    <mergeCell ref="L79:M79"/>
    <mergeCell ref="AD77:AM78"/>
    <mergeCell ref="AC75:AC81"/>
    <mergeCell ref="A83:A87"/>
    <mergeCell ref="P32:Q32"/>
    <mergeCell ref="T30:T32"/>
    <mergeCell ref="C87:D87"/>
    <mergeCell ref="Z84:Z86"/>
    <mergeCell ref="Y84:Y87"/>
    <mergeCell ref="P87:Q87"/>
    <mergeCell ref="W87:X87"/>
    <mergeCell ref="P86:R86"/>
    <mergeCell ref="K86:N86"/>
    <mergeCell ref="R64:R71"/>
    <mergeCell ref="K71:N71"/>
    <mergeCell ref="M75:M76"/>
    <mergeCell ref="N75:N81"/>
    <mergeCell ref="A82:AM82"/>
    <mergeCell ref="K78:L78"/>
    <mergeCell ref="K77:M77"/>
    <mergeCell ref="K75:L76"/>
    <mergeCell ref="J75:J76"/>
    <mergeCell ref="W68:Y70"/>
    <mergeCell ref="AD93:AM93"/>
    <mergeCell ref="C94:D94"/>
    <mergeCell ref="V90:V94"/>
    <mergeCell ref="AD94:AM94"/>
    <mergeCell ref="T93:T94"/>
    <mergeCell ref="T91:T92"/>
    <mergeCell ref="W92:Z92"/>
    <mergeCell ref="O91:O94"/>
    <mergeCell ref="AD92:AM92"/>
    <mergeCell ref="X93:Y93"/>
    <mergeCell ref="AD51:AM51"/>
    <mergeCell ref="I52:M52"/>
    <mergeCell ref="AC39:AC45"/>
    <mergeCell ref="K47:M47"/>
    <mergeCell ref="W47:X47"/>
    <mergeCell ref="I70:Q70"/>
    <mergeCell ref="G66:G69"/>
    <mergeCell ref="AD71:AM71"/>
    <mergeCell ref="C66:D70"/>
    <mergeCell ref="I66:I69"/>
    <mergeCell ref="AD40:AM41"/>
    <mergeCell ref="B46:AM46"/>
    <mergeCell ref="AD55:AM55"/>
    <mergeCell ref="AD56:AM56"/>
    <mergeCell ref="I57:M57"/>
    <mergeCell ref="AD57:AM57"/>
    <mergeCell ref="E64:E71"/>
    <mergeCell ref="N64:N69"/>
    <mergeCell ref="AD68:AM69"/>
    <mergeCell ref="I64:I65"/>
    <mergeCell ref="Y64:Y67"/>
    <mergeCell ref="AD135:AM135"/>
    <mergeCell ref="C135:D138"/>
    <mergeCell ref="E135:E138"/>
    <mergeCell ref="A95:AM95"/>
    <mergeCell ref="K90:N90"/>
    <mergeCell ref="P90:Q90"/>
    <mergeCell ref="K91:N91"/>
    <mergeCell ref="P91:R91"/>
    <mergeCell ref="K92:L92"/>
    <mergeCell ref="P92:Q92"/>
    <mergeCell ref="K94:N94"/>
    <mergeCell ref="W94:Z94"/>
    <mergeCell ref="A89:A94"/>
    <mergeCell ref="B89:AM89"/>
    <mergeCell ref="AC90:AC94"/>
    <mergeCell ref="AD90:AM90"/>
    <mergeCell ref="AD91:AM91"/>
    <mergeCell ref="K93:N93"/>
    <mergeCell ref="P93:R93"/>
    <mergeCell ref="AC115:AC117"/>
    <mergeCell ref="W117:Z117"/>
    <mergeCell ref="O115:O117"/>
    <mergeCell ref="AD138:AM138"/>
    <mergeCell ref="W135:Z135"/>
    <mergeCell ref="K135:N135"/>
    <mergeCell ref="P135:Q135"/>
    <mergeCell ref="P136:Q136"/>
    <mergeCell ref="R135:R138"/>
    <mergeCell ref="J137:M137"/>
    <mergeCell ref="P137:Q137"/>
    <mergeCell ref="X137:Z137"/>
    <mergeCell ref="AC136:AC138"/>
    <mergeCell ref="O135:O138"/>
    <mergeCell ref="P138:Q138"/>
    <mergeCell ref="T137:T138"/>
    <mergeCell ref="W138:Z138"/>
    <mergeCell ref="AA137:AA138"/>
    <mergeCell ref="K136:N136"/>
    <mergeCell ref="X136:Y136"/>
    <mergeCell ref="K138:N138"/>
    <mergeCell ref="AD136:AM136"/>
    <mergeCell ref="AD137:AM137"/>
    <mergeCell ref="X131:Y132"/>
    <mergeCell ref="F126:F127"/>
    <mergeCell ref="H126:H127"/>
    <mergeCell ref="R124:R127"/>
    <mergeCell ref="T127:U127"/>
    <mergeCell ref="V124:V127"/>
    <mergeCell ref="AD108:AM108"/>
    <mergeCell ref="K108:L108"/>
    <mergeCell ref="P108:Q108"/>
    <mergeCell ref="AD109:AM109"/>
    <mergeCell ref="AD110:AM110"/>
    <mergeCell ref="AD111:AM111"/>
    <mergeCell ref="AD112:AM112"/>
    <mergeCell ref="AC108:AC112"/>
    <mergeCell ref="P109:Q109"/>
    <mergeCell ref="K109:L109"/>
    <mergeCell ref="K110:L110"/>
    <mergeCell ref="O124:O125"/>
    <mergeCell ref="P125:Q125"/>
    <mergeCell ref="AC120:AC127"/>
    <mergeCell ref="AD125:AM125"/>
    <mergeCell ref="AD126:AM126"/>
    <mergeCell ref="P110:Q110"/>
    <mergeCell ref="Z108:Z110"/>
    <mergeCell ref="Y108:Y110"/>
    <mergeCell ref="K111:L111"/>
    <mergeCell ref="P111:Q111"/>
    <mergeCell ref="W111:Z111"/>
    <mergeCell ref="V108:V112"/>
    <mergeCell ref="R108:R112"/>
    <mergeCell ref="P112:Q112"/>
    <mergeCell ref="O111:O112"/>
    <mergeCell ref="K112:L112"/>
    <mergeCell ref="C102:D102"/>
    <mergeCell ref="K102:R102"/>
    <mergeCell ref="W102:Z102"/>
    <mergeCell ref="AC102:AC105"/>
    <mergeCell ref="AD102:AM102"/>
    <mergeCell ref="AD103:AM103"/>
    <mergeCell ref="AD104:AM104"/>
    <mergeCell ref="AD105:AM105"/>
    <mergeCell ref="K103:M103"/>
    <mergeCell ref="L104:M104"/>
    <mergeCell ref="T103:T104"/>
    <mergeCell ref="C105:D105"/>
    <mergeCell ref="Z103:Z105"/>
    <mergeCell ref="P105:R105"/>
    <mergeCell ref="K105:N105"/>
    <mergeCell ref="K130:N130"/>
    <mergeCell ref="K132:N132"/>
    <mergeCell ref="K127:Q127"/>
    <mergeCell ref="K126:Q126"/>
    <mergeCell ref="L125:N125"/>
    <mergeCell ref="L124:N124"/>
    <mergeCell ref="K123:N123"/>
    <mergeCell ref="K117:N117"/>
    <mergeCell ref="K116:N116"/>
    <mergeCell ref="P121:Q121"/>
    <mergeCell ref="K122:N122"/>
    <mergeCell ref="P122:Q122"/>
  </mergeCells>
  <hyperlinks>
    <hyperlink ref="AB99" r:id="rId1" xr:uid="{692CC1EC-DF9E-420C-A460-022D15F46C80}"/>
    <hyperlink ref="AB97" r:id="rId2" xr:uid="{F1F49305-9675-4D30-A232-4375CC2D2309}"/>
    <hyperlink ref="AB50" r:id="rId3" xr:uid="{7F622107-B4D2-46AA-8825-C41B58BB8521}"/>
    <hyperlink ref="AC50:AC52" r:id="rId4" display="click here" xr:uid="{445C6426-0E68-4943-831C-01B6D0E2756E}"/>
    <hyperlink ref="AB51" r:id="rId5" xr:uid="{3948DBBE-6CB6-4738-8B0A-95BCCD5A6A53}"/>
    <hyperlink ref="AB52" r:id="rId6" xr:uid="{8F685418-F0AF-4B5C-BC11-2EC942ADAB74}"/>
    <hyperlink ref="AB55" r:id="rId7" xr:uid="{E4E36F4A-D903-46C4-BCC3-390E67F118BA}"/>
    <hyperlink ref="AB56" r:id="rId8" xr:uid="{6E636EF1-67D7-4BE6-ACEB-94B4D1ECCD4B}"/>
    <hyperlink ref="AB57" r:id="rId9" xr:uid="{32462CDC-86BA-472D-8BEE-F7DEF870212A}"/>
    <hyperlink ref="AB59" r:id="rId10" xr:uid="{04AF0530-A0B6-4EE9-A2DC-6E7B81F86AB1}"/>
    <hyperlink ref="AB60" r:id="rId11" xr:uid="{7565AC5A-EC14-440E-BF5E-798EE16B37A4}"/>
    <hyperlink ref="AB61" r:id="rId12" xr:uid="{0F1B4146-57D1-4C62-A400-E075BE5A2A6E}"/>
    <hyperlink ref="AC55:AC61" r:id="rId13" display="click here" xr:uid="{B1974580-BCF2-4201-9689-BA7021E85B34}"/>
    <hyperlink ref="AB64" r:id="rId14" xr:uid="{BA65DE33-9BCD-408F-AF8C-22608E78C872}"/>
    <hyperlink ref="AB65" r:id="rId15" xr:uid="{1E186664-01E7-4EDC-B55A-7B704D586777}"/>
    <hyperlink ref="AB66" r:id="rId16" xr:uid="{BE48929F-9878-493E-8BBA-317C2B64646F}"/>
    <hyperlink ref="AB67" r:id="rId17" xr:uid="{7CA0DA56-FFB0-4AE1-9796-C0A49C07CECB}"/>
    <hyperlink ref="AC64:AC72" r:id="rId18" display="click here" xr:uid="{618A6D22-BADF-48E0-A073-BE0DF21D85EE}"/>
    <hyperlink ref="AB68" r:id="rId19" xr:uid="{E3076AC0-FED7-41E9-988A-44005C4C12C1}"/>
    <hyperlink ref="AB69" r:id="rId20" xr:uid="{F4EA72F8-3D64-4D32-9731-00DD90064C1D}"/>
    <hyperlink ref="AB70" r:id="rId21" xr:uid="{DDC8E401-3EB0-44D9-86AC-49C9EA050D2D}"/>
    <hyperlink ref="AB71" r:id="rId22" xr:uid="{0EAC2B66-B08F-45D4-862F-F5D07B55404D}"/>
    <hyperlink ref="AB72" r:id="rId23" xr:uid="{C1C0C516-E69D-44CA-AB17-3FA9C289F740}"/>
    <hyperlink ref="AB75" r:id="rId24" xr:uid="{E83D8D8E-EFD3-48AA-BFEA-5A23C922B39B}"/>
    <hyperlink ref="AB76" r:id="rId25" xr:uid="{2A24BF26-2A86-4DF1-A862-EE09B3B341F3}"/>
    <hyperlink ref="AB77" r:id="rId26" xr:uid="{41B35B0C-9166-489C-A233-4D81F3961CF2}"/>
    <hyperlink ref="AB80" r:id="rId27" xr:uid="{C564E2FD-0C5B-4E86-8F9F-A7AC30771FEE}"/>
    <hyperlink ref="AB79" r:id="rId28" xr:uid="{57B1621E-055F-4E01-A34B-117890899632}"/>
    <hyperlink ref="AB78" r:id="rId29" xr:uid="{A4A2BEE5-8BF8-4F56-B76B-6C6BC0CDA9CB}"/>
    <hyperlink ref="AB81" r:id="rId30" xr:uid="{1E46A089-0E0C-4076-BC92-12611D9846CD}"/>
    <hyperlink ref="AC75:AC81" r:id="rId31" display=" click here" xr:uid="{34695085-30C1-4F6D-B759-74E53067FBC1}"/>
    <hyperlink ref="AB58" r:id="rId32" xr:uid="{73694AE8-8215-4AEF-855C-26EE69389644}"/>
    <hyperlink ref="AB84" r:id="rId33" xr:uid="{40787DAB-0857-4682-894C-B4B15DC4A326}"/>
    <hyperlink ref="AB86" r:id="rId34" xr:uid="{6D9CE78A-06CF-4FEF-A4C3-989B32E1AC04}"/>
    <hyperlink ref="AB85" r:id="rId35" xr:uid="{51AB9C80-20FF-4242-A89E-8FA2D608512D}"/>
    <hyperlink ref="AB87" r:id="rId36" xr:uid="{BB27611C-C556-4FBB-86D2-DBF32C08BC28}"/>
    <hyperlink ref="AB90" r:id="rId37" xr:uid="{E0756F5F-AA6E-4A67-A1E7-A32C31BF108D}"/>
    <hyperlink ref="AB91" r:id="rId38" xr:uid="{A8B43845-7E80-44D5-BDA3-8CC75941331E}"/>
    <hyperlink ref="AB92" r:id="rId39" xr:uid="{9D3EB8C9-F5CB-4CB5-A8D7-73146D9705AD}"/>
    <hyperlink ref="AB93" r:id="rId40" xr:uid="{ECDF8D1C-4066-4845-8D92-F4CF070FB480}"/>
    <hyperlink ref="AB94" r:id="rId41" xr:uid="{1D201660-8075-4A66-8270-4651D50BB4EA}"/>
    <hyperlink ref="AB30" r:id="rId42" xr:uid="{6463B908-3AC6-4A64-A6C6-D775E7A37A4E}"/>
    <hyperlink ref="AB31" r:id="rId43" xr:uid="{3839DEFA-AB7D-484E-93D6-828B3079D9EA}"/>
    <hyperlink ref="AB32" r:id="rId44" xr:uid="{875E9BF6-73F7-4CA6-AAED-C49D82637AA0}"/>
    <hyperlink ref="AB33" r:id="rId45" xr:uid="{ED47E15E-3CB1-4D7F-84A4-5BAE50891703}"/>
    <hyperlink ref="AB34" r:id="rId46" xr:uid="{FD1455C5-B2EA-4910-AA52-D30ECF5A16B6}"/>
    <hyperlink ref="AB35" r:id="rId47" xr:uid="{52F248AF-AE35-4195-B4B2-0F5E399F9CE9}"/>
    <hyperlink ref="AC30:AC37" r:id="rId48" display="click here" xr:uid="{1D25D7B6-984D-4820-A86C-A326F294EC9E}"/>
    <hyperlink ref="AB40" r:id="rId49" xr:uid="{7C623D96-314A-43D4-897F-03C453DA670E}"/>
    <hyperlink ref="AB39" r:id="rId50" xr:uid="{F5F200FE-CFD3-4570-98B3-A051EE45A8C4}"/>
    <hyperlink ref="AB37" r:id="rId51" xr:uid="{C26E4822-1A91-4591-8EC5-0DCCD724FFFD}"/>
    <hyperlink ref="AB41" r:id="rId52" xr:uid="{62B8E300-93D3-4783-B371-9EF4460FD2B8}"/>
    <hyperlink ref="AB42" r:id="rId53" xr:uid="{5C76F5B5-9BBD-4E83-923A-390AE117F960}"/>
    <hyperlink ref="AB43" r:id="rId54" xr:uid="{04950B59-B01B-49B4-9D2A-2711EFAA8EF6}"/>
    <hyperlink ref="AB44" r:id="rId55" xr:uid="{9DF29DC8-CA4D-4867-A996-C9BE151B56C9}"/>
    <hyperlink ref="AB45" r:id="rId56" xr:uid="{2EC9B12F-D5FC-4EBC-B82D-076956F296E5}"/>
    <hyperlink ref="AB47" r:id="rId57" xr:uid="{BC602720-4606-42DA-A079-E9A55B4D2463}"/>
    <hyperlink ref="AB36" r:id="rId58" xr:uid="{3232ED73-23D1-4519-8791-321350A0A690}"/>
    <hyperlink ref="AC47" r:id="rId59" xr:uid="{F58332C8-C7F5-4810-9F98-E1966BE54A41}"/>
    <hyperlink ref="AC39:AC45" r:id="rId60" display="click here" xr:uid="{47BD5E3A-F96F-4F2A-9519-C7F048E41299}"/>
    <hyperlink ref="AC17:AC22" r:id="rId61" display="click here" xr:uid="{C84BC619-D222-45C7-ABFC-281F8AA8F000}"/>
    <hyperlink ref="AB21" r:id="rId62" xr:uid="{35B51A83-42BD-47C8-A711-F76F2D7D7E0A}"/>
    <hyperlink ref="AB22" r:id="rId63" xr:uid="{CFE288F5-4ED4-46FE-BA56-94DCCB06CAA1}"/>
    <hyperlink ref="AB20" r:id="rId64" xr:uid="{C0E05959-A9EC-475D-BD9B-409B172D40A6}"/>
    <hyperlink ref="AB18" r:id="rId65" xr:uid="{C7263287-7C37-446C-891E-5BC0F0E72148}"/>
    <hyperlink ref="AB19" r:id="rId66" xr:uid="{F39880E2-F8FB-46A4-886E-04A5E516FA94}"/>
    <hyperlink ref="AB17" r:id="rId67" xr:uid="{3CCFFEF1-168F-4656-926A-BC1DC6E45F12}"/>
    <hyperlink ref="AC10" r:id="rId68" xr:uid="{F854C080-FFE2-4FBB-8E6B-8CA427E09E34}"/>
    <hyperlink ref="AB10" r:id="rId69" xr:uid="{178C5467-51E1-4502-BF0C-A2A887F80C49}"/>
    <hyperlink ref="AB13" r:id="rId70" xr:uid="{854A000B-4714-495B-AA7C-DC795E864B9C}"/>
    <hyperlink ref="AB14" r:id="rId71" xr:uid="{6B7BAB94-8136-4072-994F-487836CF22BD}"/>
    <hyperlink ref="AB9" r:id="rId72" xr:uid="{876E43D6-4AE7-464B-BC55-E34886A4BB0C}"/>
    <hyperlink ref="AC7" r:id="rId73" xr:uid="{9C9BA6B8-0C30-4F79-B812-D05B79B9F1FA}"/>
    <hyperlink ref="AB7" r:id="rId74" xr:uid="{AACA6A7F-E28F-41A2-9728-C126CD255C52}"/>
    <hyperlink ref="AC12" r:id="rId75" xr:uid="{2776DF28-437D-47E7-B22D-0CD1178E0817}"/>
    <hyperlink ref="AB12" r:id="rId76" xr:uid="{58BF655D-3C2A-45C7-9C7A-D1D3F93EAF1D}"/>
    <hyperlink ref="AC11" r:id="rId77" xr:uid="{C987A128-3359-4C53-AD97-D30FDAF783E5}"/>
    <hyperlink ref="AB11" r:id="rId78" xr:uid="{1B0F4FA0-2457-40BF-9400-7DF68CD268C6}"/>
    <hyperlink ref="AB6" r:id="rId79" xr:uid="{C2063692-1DF8-452F-9096-9572F8F54149}"/>
    <hyperlink ref="AC6" r:id="rId80" xr:uid="{F63BC54C-55D7-483E-8C66-000FB735CE44}"/>
    <hyperlink ref="AB8" r:id="rId81" xr:uid="{53EC80EC-8A79-4715-AB31-DDFA15144344}"/>
    <hyperlink ref="AB130" r:id="rId82" xr:uid="{9599788A-7001-409C-B196-6F30C9CBE359}"/>
    <hyperlink ref="AB131" r:id="rId83" xr:uid="{61D75655-E0BC-483F-9CF1-7AEC0CC99E35}"/>
    <hyperlink ref="AB132" r:id="rId84" xr:uid="{ED807C65-00B7-4273-8989-D0F057E5C04E}"/>
    <hyperlink ref="AB136" r:id="rId85" xr:uid="{B7F8F812-7685-42D4-AFDE-16EB7244F90C}"/>
    <hyperlink ref="AB135" r:id="rId86" xr:uid="{32EE4919-CA9F-4212-BB6F-281DCA8EF840}"/>
    <hyperlink ref="AC135" r:id="rId87" xr:uid="{3C958A9C-33B6-45DA-8337-954AAE347DD6}"/>
    <hyperlink ref="AB137" r:id="rId88" xr:uid="{47233670-7994-460D-8BA7-3ADF8B6907B4}"/>
    <hyperlink ref="AB138" r:id="rId89" xr:uid="{693CCFB9-7F69-4124-8E7E-B137D447AD46}"/>
    <hyperlink ref="AB120" r:id="rId90" xr:uid="{E59BD316-A271-46FC-B823-FD882DF9D1F8}"/>
    <hyperlink ref="AB121" r:id="rId91" xr:uid="{BB423638-52B1-4A80-8D0D-057AFBDDEC59}"/>
    <hyperlink ref="AB122" r:id="rId92" xr:uid="{09F6680E-5461-4F04-B495-0A303C4AD69F}"/>
    <hyperlink ref="AB123" r:id="rId93" xr:uid="{713671AA-4C53-4551-ABF2-5FEDF5B46A3F}"/>
    <hyperlink ref="AB124" r:id="rId94" xr:uid="{BEE98488-2A1C-4603-9CF9-5B5CED59A94A}"/>
    <hyperlink ref="AB115" r:id="rId95" xr:uid="{F3C9446B-8CA1-45DC-B025-BCB8EEB0DD82}"/>
    <hyperlink ref="AB116" r:id="rId96" xr:uid="{A097ED1A-D27C-460F-B6FD-0D09249D7247}"/>
    <hyperlink ref="AB117" r:id="rId97" xr:uid="{5B3A6B26-27B0-4C18-BE94-F78DBBC55463}"/>
    <hyperlink ref="AB98" r:id="rId98" xr:uid="{7D3AF9DC-6938-4E6B-BA43-EC29C631ADBB}"/>
    <hyperlink ref="AB125" r:id="rId99" xr:uid="{F328B4DE-5248-4E32-962F-0208C5EAA3DD}"/>
    <hyperlink ref="AB126" r:id="rId100" xr:uid="{74365581-B160-4A8E-AB31-31F8601AE9C2}"/>
    <hyperlink ref="AB127" r:id="rId101" xr:uid="{8D8CD05F-2307-47CD-B6C9-4A553B0D3F54}"/>
    <hyperlink ref="AB108" r:id="rId102" xr:uid="{C87FD497-60FD-4AD5-A3E1-93AD8E44F232}"/>
    <hyperlink ref="AB109" r:id="rId103" xr:uid="{F0C69056-1A00-43F2-9ECC-056C51991C45}"/>
    <hyperlink ref="AB110" r:id="rId104" xr:uid="{0DD8D9FE-23E2-44BA-8075-8B08A30F3E11}"/>
    <hyperlink ref="AB111" r:id="rId105" xr:uid="{2315AB06-7AC3-467E-A59C-440031360BEC}"/>
    <hyperlink ref="AB112" r:id="rId106" xr:uid="{9E3849EC-408A-4A3D-A5C8-B8AC3F8A3B98}"/>
    <hyperlink ref="AB102" r:id="rId107" xr:uid="{D7A46E48-BE65-4B22-81E2-102610F22070}"/>
    <hyperlink ref="AB103" r:id="rId108" xr:uid="{F905DF9D-C405-48B1-AF79-DA78A6E68EEE}"/>
    <hyperlink ref="AB104" r:id="rId109" xr:uid="{A0B3BCC5-9F9E-4DA4-BC11-0F03F66E6283}"/>
    <hyperlink ref="AB105" r:id="rId110" xr:uid="{EE71F9AD-64F4-48AE-964A-2BDDD2E7BFAD}"/>
  </hyperlinks>
  <pageMargins left="0.7" right="0.7" top="0.75" bottom="0.75" header="0.3" footer="0.3"/>
  <pageSetup orientation="portrait" r:id="rId11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Q98"/>
  <sheetViews>
    <sheetView showGridLines="0" zoomScale="88" zoomScaleNormal="160" workbookViewId="0">
      <pane ySplit="1" topLeftCell="A2" activePane="bottomLeft" state="frozen"/>
      <selection pane="bottomLeft" activeCell="K77" sqref="K77"/>
    </sheetView>
  </sheetViews>
  <sheetFormatPr defaultRowHeight="14.4" x14ac:dyDescent="0.3"/>
  <cols>
    <col min="1" max="1" width="33.5546875" style="120" customWidth="1"/>
    <col min="2" max="2" width="13.44140625" style="18" customWidth="1"/>
    <col min="3" max="3" width="10.6640625" style="5" customWidth="1"/>
    <col min="4" max="4" width="11.21875" style="83" customWidth="1"/>
    <col min="5" max="6" width="16.77734375" style="83" customWidth="1"/>
    <col min="7" max="7" width="9.77734375" style="87" customWidth="1"/>
    <col min="8" max="8" width="11.33203125" style="75" customWidth="1"/>
    <col min="9" max="9" width="12.33203125" style="75" customWidth="1"/>
    <col min="10" max="10" width="11.44140625" style="83" customWidth="1"/>
    <col min="11" max="11" width="10.33203125" style="80" customWidth="1"/>
    <col min="12" max="12" width="8.88671875" style="80" customWidth="1"/>
    <col min="13" max="13" width="10.88671875" style="80" customWidth="1"/>
    <col min="14" max="14" width="10.6640625" customWidth="1"/>
    <col min="15" max="15" width="11.6640625" style="80" customWidth="1"/>
    <col min="16" max="16" width="11.21875" style="80" customWidth="1"/>
    <col min="17" max="17" width="10.88671875" style="80" customWidth="1"/>
    <col min="18" max="18" width="7.6640625" style="99" customWidth="1"/>
    <col min="19" max="19" width="10.88671875" style="80" customWidth="1"/>
    <col min="20" max="20" width="10.88671875" style="83" customWidth="1"/>
    <col min="21" max="21" width="10.88671875" style="75" customWidth="1"/>
    <col min="22" max="22" width="10.88671875" style="87" customWidth="1"/>
    <col min="23" max="24" width="13.33203125" style="89" customWidth="1"/>
    <col min="25" max="25" width="13.33203125" style="193" customWidth="1"/>
    <col min="26" max="26" width="14.77734375" style="193" customWidth="1"/>
    <col min="27" max="27" width="13.33203125" style="193" customWidth="1"/>
    <col min="28" max="28" width="13.33203125" style="89" customWidth="1"/>
    <col min="29" max="30" width="12.33203125" style="87" customWidth="1"/>
  </cols>
  <sheetData>
    <row r="1" spans="1:69" s="121" customFormat="1" ht="63.6" customHeight="1" x14ac:dyDescent="0.3">
      <c r="A1" s="122" t="s">
        <v>774</v>
      </c>
      <c r="B1" s="123" t="s">
        <v>838</v>
      </c>
      <c r="C1" s="124" t="s">
        <v>844</v>
      </c>
      <c r="D1" s="125" t="s">
        <v>839</v>
      </c>
      <c r="E1" s="125" t="s">
        <v>848</v>
      </c>
      <c r="F1" s="125" t="s">
        <v>860</v>
      </c>
      <c r="G1" s="126" t="s">
        <v>857</v>
      </c>
      <c r="H1" s="126" t="s">
        <v>859</v>
      </c>
      <c r="I1" s="126" t="s">
        <v>858</v>
      </c>
      <c r="J1" s="125" t="s">
        <v>849</v>
      </c>
      <c r="K1" s="125" t="s">
        <v>850</v>
      </c>
      <c r="L1" s="125" t="s">
        <v>851</v>
      </c>
      <c r="M1" s="125" t="s">
        <v>852</v>
      </c>
      <c r="N1" s="125" t="s">
        <v>853</v>
      </c>
      <c r="O1" s="125" t="s">
        <v>854</v>
      </c>
      <c r="P1" s="125" t="s">
        <v>855</v>
      </c>
      <c r="Q1" s="125" t="s">
        <v>840</v>
      </c>
      <c r="R1" s="127" t="s">
        <v>841</v>
      </c>
      <c r="S1" s="125" t="s">
        <v>846</v>
      </c>
      <c r="T1" s="125" t="s">
        <v>847</v>
      </c>
      <c r="U1" s="126" t="s">
        <v>5</v>
      </c>
      <c r="V1" s="125" t="s">
        <v>845</v>
      </c>
      <c r="W1" s="128" t="s">
        <v>861</v>
      </c>
      <c r="X1" s="128" t="s">
        <v>862</v>
      </c>
      <c r="Y1" s="127" t="s">
        <v>1059</v>
      </c>
      <c r="Z1" s="127" t="s">
        <v>1062</v>
      </c>
      <c r="AA1" s="127" t="s">
        <v>1060</v>
      </c>
      <c r="AB1" s="125" t="s">
        <v>1058</v>
      </c>
      <c r="AD1"/>
      <c r="AE1"/>
      <c r="AF1"/>
      <c r="AG1"/>
      <c r="AH1"/>
      <c r="AI1"/>
      <c r="AJ1"/>
      <c r="AK1"/>
      <c r="AL1"/>
      <c r="AM1"/>
      <c r="AN1"/>
      <c r="AO1"/>
      <c r="AP1"/>
      <c r="AQ1"/>
      <c r="AR1"/>
      <c r="AS1"/>
      <c r="AT1"/>
      <c r="AU1"/>
      <c r="AV1"/>
      <c r="AW1"/>
      <c r="AX1"/>
      <c r="AY1"/>
      <c r="AZ1"/>
      <c r="BA1"/>
      <c r="BB1"/>
      <c r="BC1"/>
      <c r="BD1"/>
      <c r="BE1"/>
      <c r="BF1"/>
      <c r="BG1"/>
      <c r="BH1"/>
      <c r="BI1"/>
      <c r="BJ1"/>
      <c r="BK1"/>
      <c r="BL1"/>
      <c r="BM1"/>
      <c r="BN1"/>
      <c r="BO1"/>
      <c r="BP1"/>
      <c r="BQ1"/>
    </row>
    <row r="2" spans="1:69" s="3" customFormat="1" ht="19.95" customHeight="1" x14ac:dyDescent="0.35">
      <c r="A2" s="104" t="s">
        <v>11</v>
      </c>
      <c r="B2" s="72">
        <v>14750</v>
      </c>
      <c r="C2" s="76">
        <v>25</v>
      </c>
      <c r="D2" s="88">
        <v>4.8</v>
      </c>
      <c r="E2" s="103">
        <v>12</v>
      </c>
      <c r="F2" s="103">
        <v>0</v>
      </c>
      <c r="G2" s="155">
        <v>2.4E-2</v>
      </c>
      <c r="H2" s="155">
        <v>2.4E-2</v>
      </c>
      <c r="I2" s="155">
        <v>2.4E-2</v>
      </c>
      <c r="J2" s="88">
        <v>0</v>
      </c>
      <c r="K2" s="88">
        <v>0</v>
      </c>
      <c r="L2" s="88">
        <v>2.4</v>
      </c>
      <c r="M2" s="88">
        <v>0</v>
      </c>
      <c r="N2" s="88">
        <v>2.4</v>
      </c>
      <c r="O2" s="88">
        <v>0</v>
      </c>
      <c r="P2" s="88">
        <v>0</v>
      </c>
      <c r="Q2" s="88">
        <v>0</v>
      </c>
      <c r="R2" s="156">
        <v>40</v>
      </c>
      <c r="S2" s="81">
        <v>2.4</v>
      </c>
      <c r="T2" s="81">
        <v>2.4</v>
      </c>
      <c r="U2" s="85">
        <v>0</v>
      </c>
      <c r="V2" s="91">
        <v>4.0000000000000002E-4</v>
      </c>
      <c r="W2" s="100">
        <v>0.04</v>
      </c>
      <c r="X2" s="90">
        <v>2.36</v>
      </c>
      <c r="Y2" s="192" t="s">
        <v>1139</v>
      </c>
      <c r="Z2" s="192" t="s">
        <v>1139</v>
      </c>
      <c r="AA2" s="192">
        <v>0</v>
      </c>
      <c r="AB2" s="194" t="s">
        <v>1056</v>
      </c>
      <c r="AD2"/>
      <c r="AE2"/>
      <c r="AF2"/>
      <c r="AG2"/>
      <c r="AH2"/>
      <c r="AI2"/>
      <c r="AJ2"/>
      <c r="AK2"/>
      <c r="AL2"/>
      <c r="AM2"/>
      <c r="AN2"/>
      <c r="AO2"/>
      <c r="AP2"/>
      <c r="AQ2"/>
      <c r="AR2"/>
      <c r="AS2"/>
      <c r="AT2"/>
      <c r="AU2"/>
      <c r="AV2"/>
      <c r="AW2"/>
      <c r="AX2"/>
      <c r="AY2"/>
      <c r="AZ2"/>
      <c r="BA2"/>
      <c r="BB2"/>
      <c r="BC2"/>
      <c r="BD2"/>
      <c r="BE2"/>
      <c r="BF2"/>
      <c r="BG2"/>
      <c r="BH2"/>
      <c r="BI2"/>
      <c r="BJ2"/>
      <c r="BK2"/>
      <c r="BL2"/>
      <c r="BM2"/>
      <c r="BN2"/>
      <c r="BO2"/>
      <c r="BP2"/>
      <c r="BQ2"/>
    </row>
    <row r="3" spans="1:69" s="3" customFormat="1" ht="19.95" customHeight="1" x14ac:dyDescent="0.35">
      <c r="A3" s="104" t="s">
        <v>16</v>
      </c>
      <c r="B3" s="73">
        <v>5900</v>
      </c>
      <c r="C3" s="77" t="s">
        <v>843</v>
      </c>
      <c r="D3" s="84">
        <v>2</v>
      </c>
      <c r="E3" s="103">
        <v>10</v>
      </c>
      <c r="F3" s="103">
        <v>0</v>
      </c>
      <c r="G3" s="157">
        <v>0.04</v>
      </c>
      <c r="H3" s="157">
        <v>0.04</v>
      </c>
      <c r="I3" s="157">
        <v>0.04</v>
      </c>
      <c r="J3" s="84">
        <v>0</v>
      </c>
      <c r="K3" s="88">
        <v>0</v>
      </c>
      <c r="L3" s="88">
        <v>0</v>
      </c>
      <c r="M3" s="88">
        <v>0</v>
      </c>
      <c r="N3" s="88">
        <v>4</v>
      </c>
      <c r="O3" s="88">
        <v>0</v>
      </c>
      <c r="P3" s="88">
        <v>0</v>
      </c>
      <c r="Q3" s="88">
        <v>0</v>
      </c>
      <c r="R3" s="158">
        <v>25</v>
      </c>
      <c r="S3" s="84">
        <v>4</v>
      </c>
      <c r="T3" s="84">
        <v>4</v>
      </c>
      <c r="U3" s="85">
        <v>0</v>
      </c>
      <c r="V3" s="91">
        <f t="shared" ref="V3:V10" si="0">(I3*100-X3)/100</f>
        <v>-1.2999999999999989E-3</v>
      </c>
      <c r="W3" s="100">
        <f t="shared" ref="W3:W10" si="1">H3*100-X3</f>
        <v>-0.12999999999999989</v>
      </c>
      <c r="X3" s="90">
        <v>4.13</v>
      </c>
      <c r="Y3" s="192">
        <v>8</v>
      </c>
      <c r="Z3" s="192">
        <v>16</v>
      </c>
      <c r="AA3" s="192">
        <v>0</v>
      </c>
      <c r="AB3" s="191" t="s">
        <v>1057</v>
      </c>
      <c r="AD3"/>
      <c r="AE3"/>
      <c r="AF3"/>
      <c r="AG3"/>
      <c r="AH3"/>
      <c r="AI3"/>
      <c r="AJ3"/>
      <c r="AK3"/>
      <c r="AL3"/>
      <c r="AM3"/>
      <c r="AN3"/>
      <c r="AO3"/>
      <c r="AP3"/>
      <c r="AQ3"/>
      <c r="AR3"/>
      <c r="AS3"/>
      <c r="AT3"/>
      <c r="AU3"/>
      <c r="AV3"/>
      <c r="AW3"/>
      <c r="AX3"/>
      <c r="AY3"/>
      <c r="AZ3"/>
      <c r="BA3"/>
      <c r="BB3"/>
      <c r="BC3"/>
      <c r="BD3"/>
      <c r="BE3"/>
      <c r="BF3"/>
      <c r="BG3"/>
      <c r="BH3"/>
      <c r="BI3"/>
      <c r="BJ3"/>
      <c r="BK3"/>
      <c r="BL3"/>
      <c r="BM3"/>
      <c r="BN3"/>
      <c r="BO3"/>
      <c r="BP3"/>
      <c r="BQ3"/>
    </row>
    <row r="4" spans="1:69" ht="19.95" customHeight="1" x14ac:dyDescent="0.35">
      <c r="A4" s="104" t="s">
        <v>15</v>
      </c>
      <c r="B4" s="73">
        <v>3540</v>
      </c>
      <c r="C4" s="77" t="s">
        <v>843</v>
      </c>
      <c r="D4" s="84">
        <v>2</v>
      </c>
      <c r="E4" s="103">
        <v>5</v>
      </c>
      <c r="F4" s="103">
        <v>0</v>
      </c>
      <c r="G4" s="157">
        <v>0.02</v>
      </c>
      <c r="H4" s="157">
        <v>0.02</v>
      </c>
      <c r="I4" s="157">
        <v>0.02</v>
      </c>
      <c r="J4" s="84">
        <v>0</v>
      </c>
      <c r="K4" s="88">
        <v>0</v>
      </c>
      <c r="L4" s="88">
        <v>0</v>
      </c>
      <c r="M4" s="88">
        <v>0</v>
      </c>
      <c r="N4" s="88">
        <v>0</v>
      </c>
      <c r="O4" s="88">
        <v>0</v>
      </c>
      <c r="P4" s="88">
        <v>2</v>
      </c>
      <c r="Q4" s="88">
        <v>0</v>
      </c>
      <c r="R4" s="158">
        <v>25</v>
      </c>
      <c r="S4" s="84">
        <v>2</v>
      </c>
      <c r="T4" s="84">
        <v>2</v>
      </c>
      <c r="U4" s="85">
        <v>0</v>
      </c>
      <c r="V4" s="91">
        <f t="shared" si="0"/>
        <v>-2.1299999999999999E-2</v>
      </c>
      <c r="W4" s="100">
        <f t="shared" si="1"/>
        <v>-2.13</v>
      </c>
      <c r="X4" s="90">
        <v>4.13</v>
      </c>
      <c r="Y4" s="192">
        <v>8</v>
      </c>
      <c r="Z4" s="192">
        <v>8</v>
      </c>
      <c r="AA4" s="192">
        <v>0</v>
      </c>
      <c r="AB4" s="191" t="s">
        <v>1057</v>
      </c>
      <c r="AC4"/>
      <c r="AD4"/>
    </row>
    <row r="5" spans="1:69" ht="19.95" customHeight="1" x14ac:dyDescent="0.35">
      <c r="A5" s="104" t="s">
        <v>775</v>
      </c>
      <c r="B5" s="74">
        <v>1180</v>
      </c>
      <c r="C5" s="78">
        <v>1</v>
      </c>
      <c r="D5" s="81">
        <v>0.67</v>
      </c>
      <c r="E5" s="103">
        <v>0.67</v>
      </c>
      <c r="F5" s="103">
        <v>0</v>
      </c>
      <c r="G5" s="96">
        <v>6.7000000000000002E-3</v>
      </c>
      <c r="H5" s="96">
        <v>6.7000000000000002E-3</v>
      </c>
      <c r="I5" s="96">
        <v>6.7000000000000002E-3</v>
      </c>
      <c r="J5" s="81">
        <v>0</v>
      </c>
      <c r="K5" s="88">
        <v>0</v>
      </c>
      <c r="L5" s="88">
        <v>0</v>
      </c>
      <c r="M5" s="88">
        <v>0</v>
      </c>
      <c r="N5" s="88">
        <v>0</v>
      </c>
      <c r="O5" s="88">
        <v>0</v>
      </c>
      <c r="P5" s="88">
        <v>0.67</v>
      </c>
      <c r="Q5" s="88">
        <v>4</v>
      </c>
      <c r="R5" s="97">
        <v>30</v>
      </c>
      <c r="S5" s="81">
        <v>1.35</v>
      </c>
      <c r="T5" s="81">
        <v>1.35</v>
      </c>
      <c r="U5" s="85">
        <v>0</v>
      </c>
      <c r="V5" s="91">
        <f t="shared" si="0"/>
        <v>-3.4599999999999999E-2</v>
      </c>
      <c r="W5" s="100">
        <f t="shared" si="1"/>
        <v>-3.46</v>
      </c>
      <c r="X5" s="90">
        <v>4.13</v>
      </c>
      <c r="Y5" s="192">
        <v>2</v>
      </c>
      <c r="Z5" s="192">
        <v>0</v>
      </c>
      <c r="AA5" s="192">
        <v>0</v>
      </c>
      <c r="AB5" s="195" t="s">
        <v>1056</v>
      </c>
      <c r="AC5"/>
      <c r="AD5"/>
    </row>
    <row r="6" spans="1:69" ht="19.95" customHeight="1" x14ac:dyDescent="0.35">
      <c r="A6" s="104" t="s">
        <v>21</v>
      </c>
      <c r="B6" s="74">
        <v>590</v>
      </c>
      <c r="C6" s="78">
        <v>3.5</v>
      </c>
      <c r="D6" s="81">
        <v>1</v>
      </c>
      <c r="E6" s="103">
        <v>5</v>
      </c>
      <c r="F6" s="103">
        <v>5</v>
      </c>
      <c r="G6" s="85">
        <v>0.01</v>
      </c>
      <c r="H6" s="85">
        <v>0.01</v>
      </c>
      <c r="I6" s="85">
        <v>0.01</v>
      </c>
      <c r="J6" s="81">
        <v>0</v>
      </c>
      <c r="K6" s="88">
        <v>0</v>
      </c>
      <c r="L6" s="88">
        <v>0</v>
      </c>
      <c r="M6" s="88">
        <v>0</v>
      </c>
      <c r="N6" s="88">
        <v>0</v>
      </c>
      <c r="O6" s="88">
        <v>0</v>
      </c>
      <c r="P6" s="88">
        <v>0</v>
      </c>
      <c r="Q6" s="88">
        <v>0</v>
      </c>
      <c r="R6" s="97">
        <v>20</v>
      </c>
      <c r="S6" s="81">
        <v>1</v>
      </c>
      <c r="T6" s="81">
        <v>4</v>
      </c>
      <c r="U6" s="85">
        <v>0</v>
      </c>
      <c r="V6" s="91">
        <f t="shared" si="0"/>
        <v>-3.1300000000000001E-2</v>
      </c>
      <c r="W6" s="100">
        <f t="shared" si="1"/>
        <v>-3.13</v>
      </c>
      <c r="X6" s="90">
        <v>4.13</v>
      </c>
      <c r="Y6" s="192">
        <v>1</v>
      </c>
      <c r="Z6" s="192">
        <v>0</v>
      </c>
      <c r="AA6" s="192">
        <v>0</v>
      </c>
      <c r="AB6" s="195" t="s">
        <v>1056</v>
      </c>
      <c r="AC6"/>
      <c r="AD6"/>
    </row>
    <row r="7" spans="1:69" ht="19.95" customHeight="1" x14ac:dyDescent="0.35">
      <c r="A7" s="104" t="s">
        <v>12</v>
      </c>
      <c r="B7" s="74">
        <v>590</v>
      </c>
      <c r="C7" s="78">
        <v>2</v>
      </c>
      <c r="D7" s="81">
        <v>1.5</v>
      </c>
      <c r="E7" s="103">
        <v>1.5</v>
      </c>
      <c r="F7" s="103">
        <v>0</v>
      </c>
      <c r="G7" s="85">
        <v>1.4999999999999999E-2</v>
      </c>
      <c r="H7" s="85">
        <v>1.4999999999999999E-2</v>
      </c>
      <c r="I7" s="85">
        <v>1.4999999999999999E-2</v>
      </c>
      <c r="J7" s="81">
        <v>3.82</v>
      </c>
      <c r="K7" s="88">
        <v>0</v>
      </c>
      <c r="L7" s="88">
        <v>0</v>
      </c>
      <c r="M7" s="88">
        <v>0</v>
      </c>
      <c r="N7" s="88">
        <v>0</v>
      </c>
      <c r="O7" s="88">
        <v>0</v>
      </c>
      <c r="P7" s="88">
        <v>0</v>
      </c>
      <c r="Q7" s="88">
        <v>0</v>
      </c>
      <c r="R7" s="97">
        <v>1.5</v>
      </c>
      <c r="S7" s="81">
        <v>1.5</v>
      </c>
      <c r="T7" s="81">
        <v>4</v>
      </c>
      <c r="U7" s="85">
        <v>0</v>
      </c>
      <c r="V7" s="91">
        <f t="shared" si="0"/>
        <v>-2.63E-2</v>
      </c>
      <c r="W7" s="100">
        <f t="shared" si="1"/>
        <v>-2.63</v>
      </c>
      <c r="X7" s="90">
        <v>4.13</v>
      </c>
      <c r="Y7" s="192">
        <v>1</v>
      </c>
      <c r="Z7" s="192">
        <v>0</v>
      </c>
      <c r="AA7" s="192">
        <v>0</v>
      </c>
      <c r="AB7" s="195" t="s">
        <v>1056</v>
      </c>
      <c r="AC7"/>
    </row>
    <row r="8" spans="1:69" ht="19.95" customHeight="1" x14ac:dyDescent="0.35">
      <c r="A8" s="104" t="s">
        <v>13</v>
      </c>
      <c r="B8" s="74">
        <v>590</v>
      </c>
      <c r="C8" s="78">
        <v>2</v>
      </c>
      <c r="D8" s="81">
        <v>1</v>
      </c>
      <c r="E8" s="103">
        <v>1</v>
      </c>
      <c r="F8" s="103">
        <v>0</v>
      </c>
      <c r="G8" s="85">
        <v>0.01</v>
      </c>
      <c r="H8" s="85">
        <v>0.01</v>
      </c>
      <c r="I8" s="85">
        <v>0.01</v>
      </c>
      <c r="J8" s="81">
        <v>10</v>
      </c>
      <c r="K8" s="88">
        <v>0</v>
      </c>
      <c r="L8" s="88">
        <v>0</v>
      </c>
      <c r="M8" s="88">
        <v>0</v>
      </c>
      <c r="N8" s="88">
        <v>0</v>
      </c>
      <c r="O8" s="88">
        <v>0</v>
      </c>
      <c r="P8" s="88">
        <v>0</v>
      </c>
      <c r="Q8" s="88">
        <v>0</v>
      </c>
      <c r="R8" s="97">
        <v>10</v>
      </c>
      <c r="S8" s="81">
        <v>1</v>
      </c>
      <c r="T8" s="81">
        <v>10</v>
      </c>
      <c r="U8" s="85">
        <v>0.01</v>
      </c>
      <c r="V8" s="91">
        <f t="shared" si="0"/>
        <v>-3.1300000000000001E-2</v>
      </c>
      <c r="W8" s="100">
        <f t="shared" si="1"/>
        <v>-3.13</v>
      </c>
      <c r="X8" s="90">
        <v>4.13</v>
      </c>
      <c r="Y8" s="192">
        <v>1</v>
      </c>
      <c r="Z8" s="192">
        <v>0</v>
      </c>
      <c r="AA8" s="192">
        <v>0</v>
      </c>
      <c r="AB8" s="195" t="s">
        <v>1056</v>
      </c>
      <c r="AC8"/>
    </row>
    <row r="9" spans="1:69" ht="19.95" customHeight="1" x14ac:dyDescent="0.35">
      <c r="A9" s="104" t="s">
        <v>17</v>
      </c>
      <c r="B9" s="74">
        <v>590</v>
      </c>
      <c r="C9" s="78" t="s">
        <v>843</v>
      </c>
      <c r="D9" s="81">
        <v>0.2</v>
      </c>
      <c r="E9" s="103">
        <v>0.2</v>
      </c>
      <c r="F9" s="103">
        <v>0</v>
      </c>
      <c r="G9" s="85">
        <v>2E-3</v>
      </c>
      <c r="H9" s="85">
        <v>2E-3</v>
      </c>
      <c r="I9" s="85">
        <v>2E-3</v>
      </c>
      <c r="J9" s="81">
        <v>0</v>
      </c>
      <c r="K9" s="88">
        <v>0</v>
      </c>
      <c r="L9" s="88">
        <v>0</v>
      </c>
      <c r="M9" s="88">
        <v>0</v>
      </c>
      <c r="N9" s="88">
        <v>0</v>
      </c>
      <c r="O9" s="88">
        <v>0</v>
      </c>
      <c r="P9" s="88">
        <v>0</v>
      </c>
      <c r="Q9" s="88">
        <v>0</v>
      </c>
      <c r="R9" s="97">
        <v>40</v>
      </c>
      <c r="S9" s="81">
        <v>0.4</v>
      </c>
      <c r="T9" s="81">
        <v>0.4</v>
      </c>
      <c r="U9" s="85">
        <v>2E-3</v>
      </c>
      <c r="V9" s="91">
        <f t="shared" si="0"/>
        <v>-3.9299999999999995E-2</v>
      </c>
      <c r="W9" s="100">
        <f t="shared" si="1"/>
        <v>-3.9299999999999997</v>
      </c>
      <c r="X9" s="90">
        <v>4.13</v>
      </c>
      <c r="Y9" s="192">
        <v>1</v>
      </c>
      <c r="Z9" s="192">
        <v>0</v>
      </c>
      <c r="AA9" s="192">
        <v>0</v>
      </c>
      <c r="AB9" s="195" t="s">
        <v>1056</v>
      </c>
      <c r="AC9"/>
    </row>
    <row r="10" spans="1:69" ht="19.95" customHeight="1" x14ac:dyDescent="0.35">
      <c r="A10" s="104" t="s">
        <v>20</v>
      </c>
      <c r="B10" s="74">
        <v>0</v>
      </c>
      <c r="C10" s="78" t="s">
        <v>843</v>
      </c>
      <c r="D10" s="81">
        <v>0.1</v>
      </c>
      <c r="E10" s="103">
        <v>0.1</v>
      </c>
      <c r="F10" s="103">
        <v>0</v>
      </c>
      <c r="G10" s="85">
        <v>1E-3</v>
      </c>
      <c r="H10" s="85">
        <v>1E-3</v>
      </c>
      <c r="I10" s="85">
        <v>1E-3</v>
      </c>
      <c r="J10" s="81">
        <v>5</v>
      </c>
      <c r="K10" s="88">
        <v>0</v>
      </c>
      <c r="L10" s="88">
        <v>0</v>
      </c>
      <c r="M10" s="88">
        <v>0</v>
      </c>
      <c r="N10" s="88">
        <v>0</v>
      </c>
      <c r="O10" s="88">
        <v>0</v>
      </c>
      <c r="P10" s="88">
        <v>0</v>
      </c>
      <c r="Q10" s="88">
        <v>0</v>
      </c>
      <c r="R10" s="97">
        <v>40</v>
      </c>
      <c r="S10" s="81">
        <v>0.1</v>
      </c>
      <c r="T10" s="81">
        <v>0.1</v>
      </c>
      <c r="U10" s="85">
        <v>1E-3</v>
      </c>
      <c r="V10" s="91">
        <f t="shared" si="0"/>
        <v>-4.0300000000000002E-2</v>
      </c>
      <c r="W10" s="100">
        <f t="shared" si="1"/>
        <v>-4.03</v>
      </c>
      <c r="X10" s="90">
        <v>4.13</v>
      </c>
      <c r="Y10" s="192">
        <v>0</v>
      </c>
      <c r="Z10" s="192">
        <v>0</v>
      </c>
      <c r="AA10" s="192">
        <v>0</v>
      </c>
      <c r="AB10" s="195" t="s">
        <v>1056</v>
      </c>
      <c r="AC10"/>
    </row>
    <row r="11" spans="1:69" ht="19.95" customHeight="1" x14ac:dyDescent="0.35">
      <c r="A11" s="105" t="s">
        <v>45</v>
      </c>
      <c r="B11" s="74">
        <v>5900</v>
      </c>
      <c r="C11" s="78">
        <v>8</v>
      </c>
      <c r="D11" s="81">
        <v>1</v>
      </c>
      <c r="E11" s="81">
        <v>2</v>
      </c>
      <c r="F11" s="81">
        <v>0</v>
      </c>
      <c r="G11" s="85">
        <v>0.01</v>
      </c>
      <c r="H11" s="85">
        <v>0.01</v>
      </c>
      <c r="I11" s="85">
        <v>0.01</v>
      </c>
      <c r="J11" s="81">
        <v>1</v>
      </c>
      <c r="K11" s="88">
        <v>0.5</v>
      </c>
      <c r="L11" s="88">
        <v>0</v>
      </c>
      <c r="M11" s="88">
        <v>0</v>
      </c>
      <c r="N11" s="88">
        <v>0.5</v>
      </c>
      <c r="O11" s="88">
        <v>0.5</v>
      </c>
      <c r="P11" s="88">
        <v>0.5</v>
      </c>
      <c r="Q11" s="88">
        <v>0</v>
      </c>
      <c r="R11" s="97">
        <v>2</v>
      </c>
      <c r="S11" s="81">
        <v>1</v>
      </c>
      <c r="T11" s="81">
        <v>1</v>
      </c>
      <c r="U11" s="85">
        <v>0</v>
      </c>
      <c r="V11" s="91">
        <v>8.3000000000000001E-3</v>
      </c>
      <c r="W11" s="100">
        <v>0.83</v>
      </c>
      <c r="X11" s="90">
        <v>1.17</v>
      </c>
      <c r="Y11" s="192">
        <v>4</v>
      </c>
      <c r="Z11" s="192">
        <v>16</v>
      </c>
      <c r="AA11" s="192">
        <v>2</v>
      </c>
      <c r="AB11" s="191" t="s">
        <v>1057</v>
      </c>
      <c r="AC11"/>
    </row>
    <row r="12" spans="1:69" ht="19.95" customHeight="1" x14ac:dyDescent="0.35">
      <c r="A12" s="105" t="s">
        <v>50</v>
      </c>
      <c r="B12" s="74">
        <v>3540</v>
      </c>
      <c r="C12" s="78">
        <v>1.5</v>
      </c>
      <c r="D12" s="81">
        <v>0.5</v>
      </c>
      <c r="E12" s="81">
        <v>0.5</v>
      </c>
      <c r="F12" s="81">
        <v>0</v>
      </c>
      <c r="G12" s="85">
        <v>5.0000000000000001E-3</v>
      </c>
      <c r="H12" s="85">
        <v>5.0000000000000001E-3</v>
      </c>
      <c r="I12" s="85">
        <v>5.0000000000000001E-3</v>
      </c>
      <c r="J12" s="81">
        <v>2.5</v>
      </c>
      <c r="K12" s="88">
        <v>0.5</v>
      </c>
      <c r="L12" s="88">
        <v>0</v>
      </c>
      <c r="M12" s="88">
        <v>0</v>
      </c>
      <c r="N12" s="88">
        <v>0.5</v>
      </c>
      <c r="O12" s="88">
        <v>0.5</v>
      </c>
      <c r="P12" s="88">
        <v>0.5</v>
      </c>
      <c r="Q12" s="88">
        <v>0</v>
      </c>
      <c r="R12" s="97">
        <v>0.5</v>
      </c>
      <c r="S12" s="81">
        <v>1</v>
      </c>
      <c r="T12" s="81">
        <v>1</v>
      </c>
      <c r="U12" s="85">
        <v>0</v>
      </c>
      <c r="V12" s="91">
        <f t="shared" ref="V12:V43" si="2">(I12*100-X12)/100</f>
        <v>-3.0200000000000001E-2</v>
      </c>
      <c r="W12" s="100">
        <f t="shared" ref="W12:W23" si="3">H12*100-X12</f>
        <v>-3.02</v>
      </c>
      <c r="X12" s="90">
        <v>3.52</v>
      </c>
      <c r="Y12" s="192">
        <v>1</v>
      </c>
      <c r="Z12" s="192">
        <v>4</v>
      </c>
      <c r="AA12" s="192">
        <v>2</v>
      </c>
      <c r="AB12" s="195" t="s">
        <v>1056</v>
      </c>
      <c r="AC12"/>
    </row>
    <row r="13" spans="1:69" ht="19.95" customHeight="1" x14ac:dyDescent="0.35">
      <c r="A13" s="105" t="s">
        <v>776</v>
      </c>
      <c r="B13" s="74">
        <v>590</v>
      </c>
      <c r="C13" s="78">
        <v>0.8</v>
      </c>
      <c r="D13" s="81">
        <v>0.5</v>
      </c>
      <c r="E13" s="81">
        <v>0.5</v>
      </c>
      <c r="F13" s="81">
        <v>0</v>
      </c>
      <c r="G13" s="85">
        <v>5.0000000000000001E-3</v>
      </c>
      <c r="H13" s="85">
        <v>5.0000000000000001E-3</v>
      </c>
      <c r="I13" s="85">
        <v>1.4999999999999999E-2</v>
      </c>
      <c r="J13" s="81">
        <v>0.5</v>
      </c>
      <c r="K13" s="88">
        <v>0.25</v>
      </c>
      <c r="L13" s="88">
        <v>0</v>
      </c>
      <c r="M13" s="88">
        <v>0</v>
      </c>
      <c r="N13" s="88">
        <v>0.25</v>
      </c>
      <c r="O13" s="88">
        <v>0.25</v>
      </c>
      <c r="P13" s="88">
        <v>0.25</v>
      </c>
      <c r="Q13" s="88">
        <v>0</v>
      </c>
      <c r="R13" s="97">
        <v>2.25</v>
      </c>
      <c r="S13" s="81">
        <v>1.3</v>
      </c>
      <c r="T13" s="81">
        <v>1.3</v>
      </c>
      <c r="U13" s="85">
        <v>0</v>
      </c>
      <c r="V13" s="91">
        <f t="shared" si="2"/>
        <v>-2.63E-2</v>
      </c>
      <c r="W13" s="100">
        <f t="shared" si="3"/>
        <v>-3.63</v>
      </c>
      <c r="X13" s="90">
        <v>4.13</v>
      </c>
      <c r="Y13" s="192">
        <v>0</v>
      </c>
      <c r="Z13" s="192">
        <v>0</v>
      </c>
      <c r="AA13" s="192">
        <v>0</v>
      </c>
      <c r="AB13" s="195" t="s">
        <v>1056</v>
      </c>
      <c r="AC13"/>
    </row>
    <row r="14" spans="1:69" ht="19.95" customHeight="1" x14ac:dyDescent="0.35">
      <c r="A14" s="105" t="s">
        <v>131</v>
      </c>
      <c r="B14" s="74">
        <v>9440</v>
      </c>
      <c r="C14" s="78">
        <v>5</v>
      </c>
      <c r="D14" s="81">
        <v>1</v>
      </c>
      <c r="E14" s="81">
        <v>1.25</v>
      </c>
      <c r="F14" s="81">
        <v>0</v>
      </c>
      <c r="G14" s="85">
        <v>1.2500000000000001E-2</v>
      </c>
      <c r="H14" s="85">
        <v>1.2500000000000001E-2</v>
      </c>
      <c r="I14" s="85">
        <v>1.2500000000000001E-2</v>
      </c>
      <c r="J14" s="81">
        <v>1.25</v>
      </c>
      <c r="K14" s="88">
        <v>0.25</v>
      </c>
      <c r="L14" s="88">
        <v>0</v>
      </c>
      <c r="M14" s="88">
        <v>0</v>
      </c>
      <c r="N14" s="88">
        <v>0.25</v>
      </c>
      <c r="O14" s="88">
        <v>0.25</v>
      </c>
      <c r="P14" s="88">
        <v>0.25</v>
      </c>
      <c r="Q14" s="88">
        <v>0</v>
      </c>
      <c r="R14" s="97">
        <v>4</v>
      </c>
      <c r="S14" s="81">
        <v>2.5</v>
      </c>
      <c r="T14" s="81">
        <v>2.5</v>
      </c>
      <c r="U14" s="85">
        <v>0</v>
      </c>
      <c r="V14" s="91">
        <f t="shared" si="2"/>
        <v>-1.1000000000000001E-2</v>
      </c>
      <c r="W14" s="100">
        <f t="shared" si="3"/>
        <v>-1.1000000000000001</v>
      </c>
      <c r="X14" s="90">
        <v>2.35</v>
      </c>
      <c r="Y14" s="192">
        <v>2</v>
      </c>
      <c r="Z14" s="192">
        <v>8</v>
      </c>
      <c r="AA14" s="192">
        <v>2</v>
      </c>
      <c r="AB14" s="195" t="s">
        <v>1056</v>
      </c>
      <c r="AC14"/>
    </row>
    <row r="15" spans="1:69" ht="19.95" customHeight="1" x14ac:dyDescent="0.35">
      <c r="A15" s="105" t="s">
        <v>777</v>
      </c>
      <c r="B15" s="74">
        <v>0</v>
      </c>
      <c r="C15" s="78" t="s">
        <v>843</v>
      </c>
      <c r="D15" s="81">
        <v>0.6</v>
      </c>
      <c r="E15" s="81">
        <v>10</v>
      </c>
      <c r="F15" s="81">
        <v>0</v>
      </c>
      <c r="G15" s="85">
        <v>1.2500000000000001E-2</v>
      </c>
      <c r="H15" s="85">
        <v>1.2500000000000001E-2</v>
      </c>
      <c r="I15" s="85">
        <v>6.3E-3</v>
      </c>
      <c r="J15" s="81">
        <v>1.25</v>
      </c>
      <c r="K15" s="88">
        <v>0</v>
      </c>
      <c r="L15" s="88">
        <v>0</v>
      </c>
      <c r="M15" s="88">
        <v>0</v>
      </c>
      <c r="N15" s="88">
        <v>0</v>
      </c>
      <c r="O15" s="88">
        <v>0</v>
      </c>
      <c r="P15" s="88">
        <v>0</v>
      </c>
      <c r="Q15" s="88">
        <v>0</v>
      </c>
      <c r="R15" s="97">
        <v>0.63</v>
      </c>
      <c r="S15" s="81">
        <v>1.25</v>
      </c>
      <c r="T15" s="81">
        <v>1.25</v>
      </c>
      <c r="U15" s="85">
        <v>6.3E-3</v>
      </c>
      <c r="V15" s="91">
        <f t="shared" si="2"/>
        <v>6.3E-3</v>
      </c>
      <c r="W15" s="100">
        <f t="shared" si="3"/>
        <v>1.25</v>
      </c>
      <c r="X15" s="90">
        <v>0</v>
      </c>
      <c r="Y15" s="192">
        <v>4</v>
      </c>
      <c r="Z15" s="192">
        <v>16</v>
      </c>
      <c r="AA15" s="192">
        <v>4</v>
      </c>
      <c r="AB15" s="191" t="s">
        <v>1057</v>
      </c>
      <c r="AC15"/>
    </row>
    <row r="16" spans="1:69" ht="19.95" customHeight="1" x14ac:dyDescent="0.35">
      <c r="A16" s="105" t="s">
        <v>276</v>
      </c>
      <c r="B16" s="74">
        <v>354</v>
      </c>
      <c r="C16" s="78" t="s">
        <v>843</v>
      </c>
      <c r="D16" s="81">
        <v>1</v>
      </c>
      <c r="E16" s="81">
        <v>1</v>
      </c>
      <c r="F16" s="81">
        <v>0</v>
      </c>
      <c r="G16" s="85">
        <v>0.01</v>
      </c>
      <c r="H16" s="85">
        <v>0.01</v>
      </c>
      <c r="I16" s="85">
        <v>0.01</v>
      </c>
      <c r="J16" s="81">
        <v>1</v>
      </c>
      <c r="K16" s="88">
        <v>0</v>
      </c>
      <c r="L16" s="88">
        <v>0</v>
      </c>
      <c r="M16" s="88">
        <v>0</v>
      </c>
      <c r="N16" s="88">
        <v>0</v>
      </c>
      <c r="O16" s="88">
        <v>0</v>
      </c>
      <c r="P16" s="88">
        <v>0</v>
      </c>
      <c r="Q16" s="88">
        <v>0</v>
      </c>
      <c r="R16" s="97">
        <v>1</v>
      </c>
      <c r="S16" s="81">
        <v>1</v>
      </c>
      <c r="T16" s="81">
        <v>1</v>
      </c>
      <c r="U16" s="85">
        <v>0.01</v>
      </c>
      <c r="V16" s="91">
        <f t="shared" si="2"/>
        <v>-3.1300000000000001E-2</v>
      </c>
      <c r="W16" s="100">
        <f t="shared" si="3"/>
        <v>-3.13</v>
      </c>
      <c r="X16" s="90">
        <v>4.13</v>
      </c>
      <c r="Y16" s="192">
        <v>2</v>
      </c>
      <c r="Z16" s="192">
        <v>0</v>
      </c>
      <c r="AA16" s="192">
        <v>2</v>
      </c>
      <c r="AB16" s="195" t="s">
        <v>1056</v>
      </c>
      <c r="AC16"/>
    </row>
    <row r="17" spans="1:29" ht="19.95" customHeight="1" x14ac:dyDescent="0.35">
      <c r="A17" s="105" t="s">
        <v>65</v>
      </c>
      <c r="B17" s="74">
        <v>0</v>
      </c>
      <c r="C17" s="78" t="s">
        <v>843</v>
      </c>
      <c r="D17" s="81">
        <v>0.5</v>
      </c>
      <c r="E17" s="81">
        <v>1</v>
      </c>
      <c r="F17" s="81">
        <v>0</v>
      </c>
      <c r="G17" s="85">
        <v>0.01</v>
      </c>
      <c r="H17" s="85">
        <v>0.01</v>
      </c>
      <c r="I17" s="85">
        <v>0.01</v>
      </c>
      <c r="J17" s="81">
        <v>1</v>
      </c>
      <c r="K17" s="88">
        <v>1</v>
      </c>
      <c r="L17" s="88">
        <v>1</v>
      </c>
      <c r="M17" s="88">
        <v>0</v>
      </c>
      <c r="N17" s="88">
        <v>1</v>
      </c>
      <c r="O17" s="88">
        <v>1</v>
      </c>
      <c r="P17" s="88">
        <v>1</v>
      </c>
      <c r="Q17" s="88">
        <v>0</v>
      </c>
      <c r="R17" s="97">
        <v>7.5</v>
      </c>
      <c r="S17" s="81">
        <v>7.5</v>
      </c>
      <c r="T17" s="81">
        <v>7.5</v>
      </c>
      <c r="U17" s="85">
        <v>0</v>
      </c>
      <c r="V17" s="91">
        <f t="shared" si="2"/>
        <v>-3.1300000000000001E-2</v>
      </c>
      <c r="W17" s="100">
        <f t="shared" si="3"/>
        <v>-3.13</v>
      </c>
      <c r="X17" s="90">
        <v>4.13</v>
      </c>
      <c r="Y17" s="192">
        <v>0</v>
      </c>
      <c r="Z17" s="192">
        <v>0</v>
      </c>
      <c r="AA17" s="192">
        <v>0</v>
      </c>
      <c r="AB17" s="195" t="s">
        <v>1056</v>
      </c>
      <c r="AC17"/>
    </row>
    <row r="18" spans="1:29" ht="19.95" customHeight="1" x14ac:dyDescent="0.35">
      <c r="A18" s="105" t="s">
        <v>778</v>
      </c>
      <c r="B18" s="74">
        <v>0</v>
      </c>
      <c r="C18" s="78" t="s">
        <v>843</v>
      </c>
      <c r="D18" s="81">
        <v>1</v>
      </c>
      <c r="E18" s="81">
        <v>3</v>
      </c>
      <c r="F18" s="81">
        <v>0</v>
      </c>
      <c r="G18" s="85">
        <v>0.03</v>
      </c>
      <c r="H18" s="85">
        <v>0.03</v>
      </c>
      <c r="I18" s="85">
        <v>0.03</v>
      </c>
      <c r="J18" s="81">
        <v>3</v>
      </c>
      <c r="K18" s="88">
        <v>0</v>
      </c>
      <c r="L18" s="88">
        <v>0</v>
      </c>
      <c r="M18" s="88">
        <v>0</v>
      </c>
      <c r="N18" s="88">
        <v>0</v>
      </c>
      <c r="O18" s="88">
        <v>3</v>
      </c>
      <c r="P18" s="88">
        <v>3</v>
      </c>
      <c r="Q18" s="88">
        <v>0</v>
      </c>
      <c r="R18" s="97">
        <v>3</v>
      </c>
      <c r="S18" s="81">
        <v>3</v>
      </c>
      <c r="T18" s="81">
        <v>3</v>
      </c>
      <c r="U18" s="85">
        <v>0</v>
      </c>
      <c r="V18" s="91">
        <f t="shared" si="2"/>
        <v>-1.1299999999999999E-2</v>
      </c>
      <c r="W18" s="100">
        <f t="shared" si="3"/>
        <v>-1.1299999999999999</v>
      </c>
      <c r="X18" s="90">
        <v>4.13</v>
      </c>
      <c r="Y18" s="192">
        <v>2</v>
      </c>
      <c r="Z18" s="192">
        <v>0</v>
      </c>
      <c r="AA18" s="192">
        <v>2</v>
      </c>
      <c r="AB18" s="195" t="s">
        <v>1056</v>
      </c>
      <c r="AC18"/>
    </row>
    <row r="19" spans="1:29" ht="19.95" customHeight="1" x14ac:dyDescent="0.35">
      <c r="A19" s="105" t="s">
        <v>68</v>
      </c>
      <c r="B19" s="74">
        <v>0</v>
      </c>
      <c r="C19" s="78" t="s">
        <v>843</v>
      </c>
      <c r="D19" s="81">
        <v>1</v>
      </c>
      <c r="E19" s="81">
        <v>2</v>
      </c>
      <c r="F19" s="81">
        <v>0</v>
      </c>
      <c r="G19" s="85">
        <v>4.2500000000000003E-2</v>
      </c>
      <c r="H19" s="85">
        <v>4.2500000000000003E-2</v>
      </c>
      <c r="I19" s="85">
        <v>3.5000000000000003E-2</v>
      </c>
      <c r="J19" s="81">
        <v>4.5</v>
      </c>
      <c r="K19" s="88">
        <v>4.5</v>
      </c>
      <c r="L19" s="88">
        <v>0</v>
      </c>
      <c r="M19" s="88">
        <v>0</v>
      </c>
      <c r="N19" s="88">
        <v>4.5</v>
      </c>
      <c r="O19" s="88">
        <v>4.5</v>
      </c>
      <c r="P19" s="88">
        <v>4.5</v>
      </c>
      <c r="Q19" s="88">
        <v>0</v>
      </c>
      <c r="R19" s="97">
        <v>3.5</v>
      </c>
      <c r="S19" s="81">
        <v>3.5</v>
      </c>
      <c r="T19" s="81">
        <v>3.5</v>
      </c>
      <c r="U19" s="85">
        <v>0</v>
      </c>
      <c r="V19" s="91">
        <f t="shared" si="2"/>
        <v>-6.2999999999999948E-3</v>
      </c>
      <c r="W19" s="100">
        <f t="shared" si="3"/>
        <v>0.12000000000000011</v>
      </c>
      <c r="X19" s="90">
        <v>4.13</v>
      </c>
      <c r="Y19" s="192">
        <v>2</v>
      </c>
      <c r="Z19" s="192">
        <v>0</v>
      </c>
      <c r="AA19" s="192">
        <v>2</v>
      </c>
      <c r="AB19" s="195" t="s">
        <v>1056</v>
      </c>
      <c r="AC19"/>
    </row>
    <row r="20" spans="1:29" ht="19.95" customHeight="1" x14ac:dyDescent="0.35">
      <c r="A20" s="106" t="s">
        <v>779</v>
      </c>
      <c r="B20" s="74">
        <v>14750</v>
      </c>
      <c r="C20" s="78">
        <v>10</v>
      </c>
      <c r="D20" s="159">
        <v>3.33</v>
      </c>
      <c r="E20" s="81">
        <v>33.33</v>
      </c>
      <c r="F20" s="81">
        <v>33.33</v>
      </c>
      <c r="G20" s="85">
        <v>3.3300000000000003E-2</v>
      </c>
      <c r="H20" s="85">
        <v>3.3300000000000003E-2</v>
      </c>
      <c r="I20" s="85">
        <v>3.3300000000000003E-2</v>
      </c>
      <c r="J20" s="81">
        <v>3.33</v>
      </c>
      <c r="K20" s="88">
        <v>0</v>
      </c>
      <c r="L20" s="88">
        <v>0</v>
      </c>
      <c r="M20" s="88">
        <v>0</v>
      </c>
      <c r="N20" s="88">
        <v>3.33</v>
      </c>
      <c r="O20" s="88">
        <v>3.33</v>
      </c>
      <c r="P20" s="88">
        <v>3.33</v>
      </c>
      <c r="Q20" s="88">
        <v>0</v>
      </c>
      <c r="R20" s="97">
        <v>20</v>
      </c>
      <c r="S20" s="81">
        <v>3.33</v>
      </c>
      <c r="T20" s="81">
        <v>3.33</v>
      </c>
      <c r="U20" s="85">
        <v>0</v>
      </c>
      <c r="V20" s="92">
        <f t="shared" si="2"/>
        <v>9.7000000000000072E-3</v>
      </c>
      <c r="W20" s="102">
        <f t="shared" si="3"/>
        <v>0.97000000000000064</v>
      </c>
      <c r="X20" s="90">
        <v>2.36</v>
      </c>
      <c r="Y20" s="192" t="s">
        <v>1139</v>
      </c>
      <c r="Z20" s="192" t="s">
        <v>1139</v>
      </c>
      <c r="AA20" s="192">
        <v>0</v>
      </c>
      <c r="AB20" s="191" t="s">
        <v>1057</v>
      </c>
      <c r="AC20"/>
    </row>
    <row r="21" spans="1:29" ht="19.95" customHeight="1" x14ac:dyDescent="0.35">
      <c r="A21" s="106" t="s">
        <v>387</v>
      </c>
      <c r="B21" s="74">
        <v>11800</v>
      </c>
      <c r="C21" s="78">
        <v>8</v>
      </c>
      <c r="D21" s="159">
        <v>3.3</v>
      </c>
      <c r="E21" s="81">
        <v>33.33</v>
      </c>
      <c r="F21" s="81">
        <v>33.33</v>
      </c>
      <c r="G21" s="85">
        <v>3.3300000000000003E-2</v>
      </c>
      <c r="H21" s="85">
        <v>3.3300000000000003E-2</v>
      </c>
      <c r="I21" s="85">
        <v>3.3300000000000003E-2</v>
      </c>
      <c r="J21" s="81">
        <v>3.33</v>
      </c>
      <c r="K21" s="88">
        <v>0</v>
      </c>
      <c r="L21" s="88">
        <v>0</v>
      </c>
      <c r="M21" s="88">
        <v>0</v>
      </c>
      <c r="N21" s="88">
        <v>3.33</v>
      </c>
      <c r="O21" s="88">
        <v>3.33</v>
      </c>
      <c r="P21" s="88">
        <v>3.33</v>
      </c>
      <c r="Q21" s="88">
        <v>0</v>
      </c>
      <c r="R21" s="97">
        <v>20</v>
      </c>
      <c r="S21" s="81">
        <v>3.33</v>
      </c>
      <c r="T21" s="81">
        <v>3.33</v>
      </c>
      <c r="U21" s="85">
        <v>0</v>
      </c>
      <c r="V21" s="92">
        <f t="shared" si="2"/>
        <v>9.7000000000000072E-3</v>
      </c>
      <c r="W21" s="102">
        <f t="shared" si="3"/>
        <v>0.97000000000000064</v>
      </c>
      <c r="X21" s="90">
        <v>2.36</v>
      </c>
      <c r="Y21" s="192" t="s">
        <v>1139</v>
      </c>
      <c r="Z21" s="192" t="s">
        <v>1139</v>
      </c>
      <c r="AA21" s="192">
        <v>0</v>
      </c>
      <c r="AB21" s="191" t="s">
        <v>1057</v>
      </c>
      <c r="AC21"/>
    </row>
    <row r="22" spans="1:29" ht="19.95" customHeight="1" x14ac:dyDescent="0.35">
      <c r="A22" s="106" t="s">
        <v>385</v>
      </c>
      <c r="B22" s="74">
        <v>2950</v>
      </c>
      <c r="C22" s="78">
        <v>4</v>
      </c>
      <c r="D22" s="81">
        <v>1.33</v>
      </c>
      <c r="E22" s="81">
        <v>6.66</v>
      </c>
      <c r="F22" s="81">
        <v>8.66</v>
      </c>
      <c r="G22" s="85">
        <v>1.3299999999999999E-2</v>
      </c>
      <c r="H22" s="85">
        <v>1.3299999999999999E-2</v>
      </c>
      <c r="I22" s="85">
        <v>1.3299999999999999E-2</v>
      </c>
      <c r="J22" s="81">
        <v>1.33</v>
      </c>
      <c r="K22" s="88">
        <v>0</v>
      </c>
      <c r="L22" s="88">
        <v>0</v>
      </c>
      <c r="M22" s="88">
        <v>0</v>
      </c>
      <c r="N22" s="88">
        <v>1.33</v>
      </c>
      <c r="O22" s="88">
        <v>1.33</v>
      </c>
      <c r="P22" s="88">
        <v>1.33</v>
      </c>
      <c r="Q22" s="88">
        <v>0</v>
      </c>
      <c r="R22" s="97">
        <v>20</v>
      </c>
      <c r="S22" s="81">
        <v>1.33</v>
      </c>
      <c r="T22" s="81">
        <v>1.33</v>
      </c>
      <c r="U22" s="85">
        <v>0</v>
      </c>
      <c r="V22" s="91">
        <f t="shared" si="2"/>
        <v>-1.03E-2</v>
      </c>
      <c r="W22" s="100">
        <f t="shared" si="3"/>
        <v>-1.03</v>
      </c>
      <c r="X22" s="90">
        <v>2.36</v>
      </c>
      <c r="Y22" s="192">
        <v>3</v>
      </c>
      <c r="Z22" s="192">
        <v>6</v>
      </c>
      <c r="AA22" s="192">
        <v>0</v>
      </c>
      <c r="AB22" s="191" t="s">
        <v>1057</v>
      </c>
      <c r="AC22"/>
    </row>
    <row r="23" spans="1:29" ht="19.95" customHeight="1" x14ac:dyDescent="0.35">
      <c r="A23" s="106" t="s">
        <v>780</v>
      </c>
      <c r="B23" s="74">
        <v>1180</v>
      </c>
      <c r="C23" s="78">
        <v>3</v>
      </c>
      <c r="D23" s="81">
        <v>1.33</v>
      </c>
      <c r="E23" s="81">
        <v>13.33</v>
      </c>
      <c r="F23" s="81">
        <v>13.33</v>
      </c>
      <c r="G23" s="85">
        <v>1.3299999999999999E-2</v>
      </c>
      <c r="H23" s="85">
        <v>1.3299999999999999E-2</v>
      </c>
      <c r="I23" s="85">
        <v>1.3299999999999999E-2</v>
      </c>
      <c r="J23" s="81">
        <v>1.33</v>
      </c>
      <c r="K23" s="88">
        <v>0</v>
      </c>
      <c r="L23" s="88">
        <v>0</v>
      </c>
      <c r="M23" s="88">
        <v>0</v>
      </c>
      <c r="N23" s="88">
        <v>1.33</v>
      </c>
      <c r="O23" s="88">
        <v>1.33</v>
      </c>
      <c r="P23" s="88">
        <v>1.33</v>
      </c>
      <c r="Q23" s="88">
        <v>0</v>
      </c>
      <c r="R23" s="97">
        <v>10</v>
      </c>
      <c r="S23" s="81">
        <v>6.66</v>
      </c>
      <c r="T23" s="81">
        <v>6.66</v>
      </c>
      <c r="U23" s="85">
        <v>0</v>
      </c>
      <c r="V23" s="91">
        <f t="shared" si="2"/>
        <v>-2.7999999999999997E-2</v>
      </c>
      <c r="W23" s="100">
        <f t="shared" si="3"/>
        <v>-2.8</v>
      </c>
      <c r="X23" s="90">
        <v>4.13</v>
      </c>
      <c r="Y23" s="192">
        <v>2</v>
      </c>
      <c r="Z23" s="192">
        <v>0</v>
      </c>
      <c r="AA23" s="192">
        <v>0</v>
      </c>
      <c r="AB23" s="195" t="s">
        <v>1056</v>
      </c>
      <c r="AC23"/>
    </row>
    <row r="24" spans="1:29" ht="19.95" customHeight="1" x14ac:dyDescent="0.35">
      <c r="A24" s="106" t="s">
        <v>384</v>
      </c>
      <c r="B24" s="74">
        <v>1180</v>
      </c>
      <c r="C24" s="78">
        <v>1</v>
      </c>
      <c r="D24" s="81">
        <v>1</v>
      </c>
      <c r="E24" s="81">
        <v>5</v>
      </c>
      <c r="F24" s="81">
        <v>5</v>
      </c>
      <c r="G24" s="85">
        <v>0.05</v>
      </c>
      <c r="H24" s="85">
        <v>0.05</v>
      </c>
      <c r="I24" s="85">
        <v>0.01</v>
      </c>
      <c r="J24" s="81">
        <v>1</v>
      </c>
      <c r="K24" s="88">
        <v>1</v>
      </c>
      <c r="L24" s="88">
        <v>0</v>
      </c>
      <c r="M24" s="88">
        <v>1</v>
      </c>
      <c r="N24" s="88">
        <v>1</v>
      </c>
      <c r="O24" s="88">
        <v>1</v>
      </c>
      <c r="P24" s="88">
        <v>1</v>
      </c>
      <c r="Q24" s="88">
        <v>0</v>
      </c>
      <c r="R24" s="97">
        <v>20</v>
      </c>
      <c r="S24" s="81">
        <v>5</v>
      </c>
      <c r="T24" s="81">
        <v>5</v>
      </c>
      <c r="U24" s="85">
        <v>0</v>
      </c>
      <c r="V24" s="92">
        <f t="shared" si="2"/>
        <v>-3.1300000000000001E-2</v>
      </c>
      <c r="W24" s="102">
        <v>-3.13</v>
      </c>
      <c r="X24" s="90">
        <v>4.13</v>
      </c>
      <c r="Y24" s="192">
        <v>1</v>
      </c>
      <c r="Z24" s="192">
        <v>0</v>
      </c>
      <c r="AA24" s="192">
        <v>0</v>
      </c>
      <c r="AB24" s="195" t="s">
        <v>1056</v>
      </c>
      <c r="AC24"/>
    </row>
    <row r="25" spans="1:29" ht="19.95" customHeight="1" x14ac:dyDescent="0.35">
      <c r="A25" s="106" t="s">
        <v>781</v>
      </c>
      <c r="B25" s="74">
        <v>590</v>
      </c>
      <c r="C25" s="78">
        <v>0.5</v>
      </c>
      <c r="D25" s="81">
        <v>0.33</v>
      </c>
      <c r="E25" s="81">
        <v>0.33</v>
      </c>
      <c r="F25" s="81">
        <v>3.33</v>
      </c>
      <c r="G25" s="85">
        <v>3.3E-3</v>
      </c>
      <c r="H25" s="85">
        <v>3.3E-3</v>
      </c>
      <c r="I25" s="85">
        <v>3.3E-3</v>
      </c>
      <c r="J25" s="81">
        <v>0.33</v>
      </c>
      <c r="K25" s="88">
        <v>0</v>
      </c>
      <c r="L25" s="88">
        <v>0</v>
      </c>
      <c r="M25" s="88">
        <v>0</v>
      </c>
      <c r="N25" s="88">
        <v>0.33</v>
      </c>
      <c r="O25" s="88">
        <v>0.33</v>
      </c>
      <c r="P25" s="88">
        <v>0.33</v>
      </c>
      <c r="Q25" s="88">
        <v>0</v>
      </c>
      <c r="R25" s="97">
        <v>3.33</v>
      </c>
      <c r="S25" s="81">
        <v>3.33</v>
      </c>
      <c r="T25" s="81">
        <v>3.33</v>
      </c>
      <c r="U25" s="85">
        <v>3.3E-3</v>
      </c>
      <c r="V25" s="91">
        <f t="shared" si="2"/>
        <v>-3.7999999999999999E-2</v>
      </c>
      <c r="W25" s="100">
        <f t="shared" ref="W25:W56" si="4">H25*100-X25</f>
        <v>-3.8</v>
      </c>
      <c r="X25" s="90">
        <v>4.13</v>
      </c>
      <c r="Y25" s="192">
        <v>0</v>
      </c>
      <c r="Z25" s="192">
        <v>0</v>
      </c>
      <c r="AA25" s="192">
        <v>0</v>
      </c>
      <c r="AB25" s="195" t="s">
        <v>1056</v>
      </c>
      <c r="AC25"/>
    </row>
    <row r="26" spans="1:29" ht="19.95" customHeight="1" x14ac:dyDescent="0.35">
      <c r="A26" s="106" t="s">
        <v>782</v>
      </c>
      <c r="B26" s="74">
        <v>590</v>
      </c>
      <c r="C26" s="78">
        <v>1</v>
      </c>
      <c r="D26" s="81">
        <v>1</v>
      </c>
      <c r="E26" s="81">
        <v>5</v>
      </c>
      <c r="F26" s="81">
        <v>0</v>
      </c>
      <c r="G26" s="85">
        <v>0.03</v>
      </c>
      <c r="H26" s="85">
        <v>0.01</v>
      </c>
      <c r="I26" s="85">
        <v>0.01</v>
      </c>
      <c r="J26" s="81">
        <v>1</v>
      </c>
      <c r="K26" s="88">
        <v>0</v>
      </c>
      <c r="L26" s="88">
        <v>0</v>
      </c>
      <c r="M26" s="88">
        <v>0</v>
      </c>
      <c r="N26" s="88">
        <v>1</v>
      </c>
      <c r="O26" s="88">
        <v>1</v>
      </c>
      <c r="P26" s="88">
        <v>1</v>
      </c>
      <c r="Q26" s="88">
        <v>0</v>
      </c>
      <c r="R26" s="97">
        <v>5</v>
      </c>
      <c r="S26" s="81">
        <v>5</v>
      </c>
      <c r="T26" s="81">
        <v>5</v>
      </c>
      <c r="U26" s="85">
        <v>0.01</v>
      </c>
      <c r="V26" s="91">
        <f t="shared" si="2"/>
        <v>-3.1300000000000001E-2</v>
      </c>
      <c r="W26" s="100">
        <f t="shared" si="4"/>
        <v>-3.13</v>
      </c>
      <c r="X26" s="90">
        <v>4.13</v>
      </c>
      <c r="Y26" s="192">
        <v>0</v>
      </c>
      <c r="Z26" s="192">
        <v>0</v>
      </c>
      <c r="AA26" s="192">
        <v>0</v>
      </c>
      <c r="AB26" s="195" t="s">
        <v>1056</v>
      </c>
      <c r="AC26"/>
    </row>
    <row r="27" spans="1:29" ht="19.95" customHeight="1" x14ac:dyDescent="0.35">
      <c r="A27" s="106" t="s">
        <v>783</v>
      </c>
      <c r="B27" s="74">
        <v>118</v>
      </c>
      <c r="C27" s="78">
        <v>0.25</v>
      </c>
      <c r="D27" s="81">
        <v>0.25</v>
      </c>
      <c r="E27" s="81">
        <v>0.25</v>
      </c>
      <c r="F27" s="81">
        <v>0</v>
      </c>
      <c r="G27" s="85">
        <v>2.5000000000000001E-3</v>
      </c>
      <c r="H27" s="85">
        <v>2.5000000000000001E-3</v>
      </c>
      <c r="I27" s="85">
        <v>2.5000000000000001E-3</v>
      </c>
      <c r="J27" s="81">
        <v>0.25</v>
      </c>
      <c r="K27" s="88">
        <v>0</v>
      </c>
      <c r="L27" s="88">
        <v>0</v>
      </c>
      <c r="M27" s="88">
        <v>0</v>
      </c>
      <c r="N27" s="88">
        <v>0</v>
      </c>
      <c r="O27" s="88">
        <v>0</v>
      </c>
      <c r="P27" s="88">
        <v>0</v>
      </c>
      <c r="Q27" s="88">
        <v>0</v>
      </c>
      <c r="R27" s="97">
        <v>0</v>
      </c>
      <c r="S27" s="81">
        <v>0.75</v>
      </c>
      <c r="T27" s="81">
        <v>0.75</v>
      </c>
      <c r="U27" s="85">
        <v>7.4999999999999997E-3</v>
      </c>
      <c r="V27" s="91">
        <f t="shared" si="2"/>
        <v>-3.8800000000000001E-2</v>
      </c>
      <c r="W27" s="100">
        <f t="shared" si="4"/>
        <v>-3.88</v>
      </c>
      <c r="X27" s="90">
        <v>4.13</v>
      </c>
      <c r="Y27" s="192">
        <v>0</v>
      </c>
      <c r="Z27" s="192">
        <v>0</v>
      </c>
      <c r="AA27" s="192">
        <v>0</v>
      </c>
      <c r="AB27" s="195" t="s">
        <v>1056</v>
      </c>
      <c r="AC27"/>
    </row>
    <row r="28" spans="1:29" ht="19.95" customHeight="1" x14ac:dyDescent="0.35">
      <c r="A28" s="106" t="s">
        <v>784</v>
      </c>
      <c r="B28" s="74">
        <v>590</v>
      </c>
      <c r="C28" s="78">
        <v>0.5</v>
      </c>
      <c r="D28" s="81">
        <v>0.64</v>
      </c>
      <c r="E28" s="81">
        <v>0.64</v>
      </c>
      <c r="F28" s="81">
        <v>0</v>
      </c>
      <c r="G28" s="85">
        <v>6.4000000000000003E-3</v>
      </c>
      <c r="H28" s="85">
        <v>6.4000000000000003E-3</v>
      </c>
      <c r="I28" s="85">
        <v>6.4000000000000003E-3</v>
      </c>
      <c r="J28" s="81">
        <v>4.5</v>
      </c>
      <c r="K28" s="88">
        <v>0</v>
      </c>
      <c r="L28" s="88">
        <v>0</v>
      </c>
      <c r="M28" s="88">
        <v>0</v>
      </c>
      <c r="N28" s="88">
        <v>0</v>
      </c>
      <c r="O28" s="88">
        <v>0</v>
      </c>
      <c r="P28" s="88">
        <v>0</v>
      </c>
      <c r="Q28" s="88">
        <v>4.5</v>
      </c>
      <c r="R28" s="97">
        <v>0</v>
      </c>
      <c r="S28" s="81">
        <v>4.5</v>
      </c>
      <c r="T28" s="81">
        <v>4.5</v>
      </c>
      <c r="U28" s="85">
        <v>6.4000000000000003E-3</v>
      </c>
      <c r="V28" s="91">
        <f t="shared" si="2"/>
        <v>-3.49E-2</v>
      </c>
      <c r="W28" s="100">
        <f t="shared" si="4"/>
        <v>-3.4899999999999998</v>
      </c>
      <c r="X28" s="90">
        <v>4.13</v>
      </c>
      <c r="Y28" s="192">
        <v>0</v>
      </c>
      <c r="Z28" s="192">
        <v>0</v>
      </c>
      <c r="AA28" s="192">
        <v>0</v>
      </c>
      <c r="AB28" s="195" t="s">
        <v>1056</v>
      </c>
      <c r="AC28"/>
    </row>
    <row r="29" spans="1:29" ht="19.95" customHeight="1" x14ac:dyDescent="0.35">
      <c r="A29" s="106" t="s">
        <v>785</v>
      </c>
      <c r="B29" s="74">
        <v>1770</v>
      </c>
      <c r="C29" s="78">
        <v>3</v>
      </c>
      <c r="D29" s="81">
        <v>1.5</v>
      </c>
      <c r="E29" s="81">
        <v>5</v>
      </c>
      <c r="F29" s="81">
        <v>10</v>
      </c>
      <c r="G29" s="85">
        <v>1.4999999999999999E-2</v>
      </c>
      <c r="H29" s="85">
        <v>1.4999999999999999E-2</v>
      </c>
      <c r="I29" s="85">
        <v>1.4999999999999999E-2</v>
      </c>
      <c r="J29" s="81">
        <v>5</v>
      </c>
      <c r="K29" s="88">
        <v>0</v>
      </c>
      <c r="L29" s="88">
        <v>0</v>
      </c>
      <c r="M29" s="88">
        <v>1.5</v>
      </c>
      <c r="N29" s="88">
        <v>1.5</v>
      </c>
      <c r="O29" s="88">
        <v>1.5</v>
      </c>
      <c r="P29" s="88">
        <v>5</v>
      </c>
      <c r="Q29" s="88">
        <v>0</v>
      </c>
      <c r="R29" s="97">
        <v>1.5</v>
      </c>
      <c r="S29" s="81">
        <v>1.5</v>
      </c>
      <c r="T29" s="81">
        <v>10</v>
      </c>
      <c r="U29" s="85">
        <v>1.4999999999999999E-2</v>
      </c>
      <c r="V29" s="91">
        <f t="shared" si="2"/>
        <v>-8.5999999999999983E-3</v>
      </c>
      <c r="W29" s="100">
        <f t="shared" si="4"/>
        <v>-0.85999999999999988</v>
      </c>
      <c r="X29" s="90">
        <v>2.36</v>
      </c>
      <c r="Y29" s="192">
        <v>2</v>
      </c>
      <c r="Z29" s="192">
        <v>4</v>
      </c>
      <c r="AA29" s="192">
        <v>0</v>
      </c>
      <c r="AB29" s="191" t="s">
        <v>1057</v>
      </c>
      <c r="AC29"/>
    </row>
    <row r="30" spans="1:29" ht="19.95" customHeight="1" x14ac:dyDescent="0.35">
      <c r="A30" s="106" t="s">
        <v>786</v>
      </c>
      <c r="B30" s="74">
        <v>590</v>
      </c>
      <c r="C30" s="78">
        <v>1</v>
      </c>
      <c r="D30" s="81">
        <v>1</v>
      </c>
      <c r="E30" s="81">
        <v>2</v>
      </c>
      <c r="F30" s="81">
        <v>7</v>
      </c>
      <c r="G30" s="85">
        <v>0.01</v>
      </c>
      <c r="H30" s="85">
        <v>0.01</v>
      </c>
      <c r="I30" s="85">
        <v>0.01</v>
      </c>
      <c r="J30" s="81">
        <v>5</v>
      </c>
      <c r="K30" s="88">
        <v>0</v>
      </c>
      <c r="L30" s="88">
        <v>0</v>
      </c>
      <c r="M30" s="88">
        <v>1</v>
      </c>
      <c r="N30" s="88">
        <v>1</v>
      </c>
      <c r="O30" s="88">
        <v>1</v>
      </c>
      <c r="P30" s="88">
        <v>2</v>
      </c>
      <c r="Q30" s="88">
        <v>0</v>
      </c>
      <c r="R30" s="97">
        <v>1</v>
      </c>
      <c r="S30" s="81">
        <v>1</v>
      </c>
      <c r="T30" s="81">
        <v>7</v>
      </c>
      <c r="U30" s="85">
        <v>0.01</v>
      </c>
      <c r="V30" s="91">
        <f t="shared" si="2"/>
        <v>-3.1300000000000001E-2</v>
      </c>
      <c r="W30" s="100">
        <f t="shared" si="4"/>
        <v>-3.13</v>
      </c>
      <c r="X30" s="90">
        <v>4.13</v>
      </c>
      <c r="Y30" s="192">
        <v>1</v>
      </c>
      <c r="Z30" s="192">
        <v>0</v>
      </c>
      <c r="AA30" s="192">
        <v>0</v>
      </c>
      <c r="AB30" s="191" t="s">
        <v>1057</v>
      </c>
      <c r="AC30"/>
    </row>
    <row r="31" spans="1:29" ht="19.95" customHeight="1" x14ac:dyDescent="0.35">
      <c r="A31" s="106" t="s">
        <v>391</v>
      </c>
      <c r="B31" s="74">
        <v>590</v>
      </c>
      <c r="C31" s="78">
        <v>2</v>
      </c>
      <c r="D31" s="81">
        <v>1</v>
      </c>
      <c r="E31" s="81">
        <v>5</v>
      </c>
      <c r="F31" s="81">
        <v>0</v>
      </c>
      <c r="G31" s="85">
        <v>0.05</v>
      </c>
      <c r="H31" s="85">
        <v>0.05</v>
      </c>
      <c r="I31" s="85">
        <v>0.01</v>
      </c>
      <c r="J31" s="81">
        <v>1</v>
      </c>
      <c r="K31" s="88">
        <v>0</v>
      </c>
      <c r="L31" s="88">
        <v>0</v>
      </c>
      <c r="M31" s="88">
        <v>0</v>
      </c>
      <c r="N31" s="88">
        <v>0</v>
      </c>
      <c r="O31" s="88">
        <v>0</v>
      </c>
      <c r="P31" s="88">
        <v>0</v>
      </c>
      <c r="Q31" s="88">
        <v>0</v>
      </c>
      <c r="R31" s="97">
        <v>10</v>
      </c>
      <c r="S31" s="81">
        <v>1</v>
      </c>
      <c r="T31" s="81">
        <v>10</v>
      </c>
      <c r="U31" s="85">
        <v>0</v>
      </c>
      <c r="V31" s="91">
        <f t="shared" si="2"/>
        <v>-3.1300000000000001E-2</v>
      </c>
      <c r="W31" s="100">
        <f t="shared" si="4"/>
        <v>0.87000000000000011</v>
      </c>
      <c r="X31" s="90">
        <v>4.13</v>
      </c>
      <c r="Y31" s="192">
        <v>0</v>
      </c>
      <c r="Z31" s="192">
        <v>0</v>
      </c>
      <c r="AA31" s="192">
        <v>0</v>
      </c>
      <c r="AB31" s="195" t="s">
        <v>1056</v>
      </c>
      <c r="AC31"/>
    </row>
    <row r="32" spans="1:29" ht="19.95" customHeight="1" x14ac:dyDescent="0.35">
      <c r="A32" s="106" t="s">
        <v>1136</v>
      </c>
      <c r="B32" s="74">
        <v>3540</v>
      </c>
      <c r="C32" s="78" t="s">
        <v>843</v>
      </c>
      <c r="D32" s="81">
        <v>0.67</v>
      </c>
      <c r="E32" s="81">
        <v>4</v>
      </c>
      <c r="F32" s="81">
        <v>0</v>
      </c>
      <c r="G32" s="85">
        <v>6.7000000000000002E-3</v>
      </c>
      <c r="H32" s="85">
        <v>6.7000000000000002E-3</v>
      </c>
      <c r="I32" s="85">
        <v>6.7000000000000002E-3</v>
      </c>
      <c r="J32" s="81">
        <v>0.67</v>
      </c>
      <c r="K32" s="88">
        <v>0</v>
      </c>
      <c r="L32" s="88">
        <v>0</v>
      </c>
      <c r="M32" s="88">
        <v>0</v>
      </c>
      <c r="N32" s="88">
        <v>0.67</v>
      </c>
      <c r="O32" s="88">
        <v>0.67</v>
      </c>
      <c r="P32" s="88">
        <v>0.67</v>
      </c>
      <c r="Q32" s="88">
        <v>0</v>
      </c>
      <c r="R32" s="97">
        <v>1.33</v>
      </c>
      <c r="S32" s="81">
        <v>0.67</v>
      </c>
      <c r="T32" s="81">
        <v>0.67</v>
      </c>
      <c r="U32" s="85">
        <v>0</v>
      </c>
      <c r="V32" s="91">
        <f t="shared" si="2"/>
        <v>-3.4599999999999999E-2</v>
      </c>
      <c r="W32" s="100">
        <f t="shared" si="4"/>
        <v>-3.46</v>
      </c>
      <c r="X32" s="90">
        <v>4.13</v>
      </c>
      <c r="Y32" s="192">
        <v>3</v>
      </c>
      <c r="Z32" s="192">
        <v>12</v>
      </c>
      <c r="AA32" s="192">
        <v>0</v>
      </c>
      <c r="AB32" s="191" t="s">
        <v>1057</v>
      </c>
      <c r="AC32"/>
    </row>
    <row r="33" spans="1:29" ht="19.95" customHeight="1" x14ac:dyDescent="0.35">
      <c r="A33" s="106" t="s">
        <v>395</v>
      </c>
      <c r="B33" s="74">
        <v>590</v>
      </c>
      <c r="C33" s="78">
        <v>1.5</v>
      </c>
      <c r="D33" s="81">
        <v>1</v>
      </c>
      <c r="E33" s="81">
        <v>10</v>
      </c>
      <c r="F33" s="81">
        <v>0</v>
      </c>
      <c r="G33" s="85">
        <v>0.01</v>
      </c>
      <c r="H33" s="85">
        <v>0.01</v>
      </c>
      <c r="I33" s="85">
        <v>0.01</v>
      </c>
      <c r="J33" s="81">
        <v>1</v>
      </c>
      <c r="K33" s="88">
        <v>0</v>
      </c>
      <c r="L33" s="88">
        <v>0</v>
      </c>
      <c r="M33" s="88">
        <v>0</v>
      </c>
      <c r="N33" s="88">
        <v>1</v>
      </c>
      <c r="O33" s="88">
        <v>1</v>
      </c>
      <c r="P33" s="88">
        <v>1</v>
      </c>
      <c r="Q33" s="88">
        <v>0</v>
      </c>
      <c r="R33" s="97">
        <v>1</v>
      </c>
      <c r="S33" s="81">
        <v>1</v>
      </c>
      <c r="T33" s="81">
        <v>1</v>
      </c>
      <c r="U33" s="85">
        <v>0.01</v>
      </c>
      <c r="V33" s="91">
        <f t="shared" si="2"/>
        <v>-3.1300000000000001E-2</v>
      </c>
      <c r="W33" s="100">
        <f t="shared" si="4"/>
        <v>-3.13</v>
      </c>
      <c r="X33" s="90">
        <v>4.13</v>
      </c>
      <c r="Y33" s="192">
        <v>0</v>
      </c>
      <c r="Z33" s="192">
        <v>0</v>
      </c>
      <c r="AA33" s="192">
        <v>2</v>
      </c>
      <c r="AB33" s="191" t="s">
        <v>1057</v>
      </c>
      <c r="AC33"/>
    </row>
    <row r="34" spans="1:29" ht="19.95" customHeight="1" x14ac:dyDescent="0.35">
      <c r="A34" s="106" t="s">
        <v>788</v>
      </c>
      <c r="B34" s="74">
        <v>1180</v>
      </c>
      <c r="C34" s="78" t="s">
        <v>843</v>
      </c>
      <c r="D34" s="81">
        <v>2</v>
      </c>
      <c r="E34" s="81">
        <v>5</v>
      </c>
      <c r="F34" s="81">
        <v>0</v>
      </c>
      <c r="G34" s="85">
        <v>0.02</v>
      </c>
      <c r="H34" s="85">
        <v>0.02</v>
      </c>
      <c r="I34" s="85">
        <v>0.02</v>
      </c>
      <c r="J34" s="81">
        <v>2</v>
      </c>
      <c r="K34" s="88">
        <v>0</v>
      </c>
      <c r="L34" s="88">
        <v>0</v>
      </c>
      <c r="M34" s="88">
        <v>0</v>
      </c>
      <c r="N34" s="88">
        <v>2</v>
      </c>
      <c r="O34" s="88">
        <v>2</v>
      </c>
      <c r="P34" s="88">
        <v>2</v>
      </c>
      <c r="Q34" s="88">
        <v>0</v>
      </c>
      <c r="R34" s="97">
        <v>3</v>
      </c>
      <c r="S34" s="81">
        <v>3</v>
      </c>
      <c r="T34" s="81">
        <v>3</v>
      </c>
      <c r="U34" s="85">
        <v>0</v>
      </c>
      <c r="V34" s="91">
        <f t="shared" si="2"/>
        <v>-9.5000000000000015E-3</v>
      </c>
      <c r="W34" s="100">
        <f t="shared" si="4"/>
        <v>-0.95000000000000018</v>
      </c>
      <c r="X34" s="90">
        <v>2.95</v>
      </c>
      <c r="Y34" s="192">
        <v>2</v>
      </c>
      <c r="Z34" s="192">
        <v>0</v>
      </c>
      <c r="AA34" s="192">
        <v>0</v>
      </c>
      <c r="AB34" s="191" t="s">
        <v>1057</v>
      </c>
      <c r="AC34"/>
    </row>
    <row r="35" spans="1:29" ht="19.95" customHeight="1" x14ac:dyDescent="0.35">
      <c r="A35" s="106" t="s">
        <v>789</v>
      </c>
      <c r="B35" s="74">
        <v>11800</v>
      </c>
      <c r="C35" s="78">
        <v>7.5</v>
      </c>
      <c r="D35" s="159">
        <v>3.33</v>
      </c>
      <c r="E35" s="81">
        <v>33.33</v>
      </c>
      <c r="F35" s="81">
        <v>33.33</v>
      </c>
      <c r="G35" s="85">
        <v>3.3300000000000003E-2</v>
      </c>
      <c r="H35" s="85">
        <v>3.3300000000000003E-2</v>
      </c>
      <c r="I35" s="85">
        <v>3.3300000000000003E-2</v>
      </c>
      <c r="J35" s="81">
        <v>3.33</v>
      </c>
      <c r="K35" s="88">
        <v>33.33</v>
      </c>
      <c r="L35" s="88">
        <v>0</v>
      </c>
      <c r="M35" s="88">
        <v>0</v>
      </c>
      <c r="N35" s="88">
        <v>0</v>
      </c>
      <c r="O35" s="88">
        <v>3.33</v>
      </c>
      <c r="P35" s="88">
        <v>3.33</v>
      </c>
      <c r="Q35" s="88">
        <v>0</v>
      </c>
      <c r="R35" s="97">
        <v>3.33</v>
      </c>
      <c r="S35" s="81">
        <v>3.33</v>
      </c>
      <c r="T35" s="81">
        <v>3.33</v>
      </c>
      <c r="U35" s="85">
        <v>0</v>
      </c>
      <c r="V35" s="91">
        <f t="shared" si="2"/>
        <v>-7.9999999999999932E-3</v>
      </c>
      <c r="W35" s="100">
        <f t="shared" si="4"/>
        <v>-0.79999999999999938</v>
      </c>
      <c r="X35" s="90">
        <v>4.13</v>
      </c>
      <c r="Y35" s="192" t="s">
        <v>1139</v>
      </c>
      <c r="Z35" s="192" t="s">
        <v>1139</v>
      </c>
      <c r="AA35" s="192">
        <v>0</v>
      </c>
      <c r="AB35" s="191" t="s">
        <v>1057</v>
      </c>
      <c r="AC35"/>
    </row>
    <row r="36" spans="1:29" ht="19.95" customHeight="1" x14ac:dyDescent="0.35">
      <c r="A36" s="107" t="s">
        <v>790</v>
      </c>
      <c r="B36" s="74">
        <v>14750</v>
      </c>
      <c r="C36" s="78">
        <v>10</v>
      </c>
      <c r="D36" s="159">
        <v>3</v>
      </c>
      <c r="E36" s="81">
        <v>3</v>
      </c>
      <c r="F36" s="81">
        <v>0</v>
      </c>
      <c r="G36" s="85">
        <v>0.03</v>
      </c>
      <c r="H36" s="85">
        <v>0.03</v>
      </c>
      <c r="I36" s="85">
        <v>0.03</v>
      </c>
      <c r="J36" s="81">
        <v>3</v>
      </c>
      <c r="K36" s="88">
        <v>0</v>
      </c>
      <c r="L36" s="88">
        <v>0</v>
      </c>
      <c r="M36" s="88">
        <v>0</v>
      </c>
      <c r="N36" s="88">
        <v>3</v>
      </c>
      <c r="O36" s="88">
        <v>3</v>
      </c>
      <c r="P36" s="88">
        <v>3</v>
      </c>
      <c r="Q36" s="88">
        <v>0</v>
      </c>
      <c r="R36" s="97">
        <v>25</v>
      </c>
      <c r="S36" s="81">
        <v>3</v>
      </c>
      <c r="T36" s="81">
        <v>3</v>
      </c>
      <c r="U36" s="85">
        <v>0</v>
      </c>
      <c r="V36" s="91">
        <f t="shared" si="2"/>
        <v>6.4000000000000012E-3</v>
      </c>
      <c r="W36" s="100">
        <f t="shared" si="4"/>
        <v>0.64000000000000012</v>
      </c>
      <c r="X36" s="90">
        <v>2.36</v>
      </c>
      <c r="Y36" s="192" t="s">
        <v>1139</v>
      </c>
      <c r="Z36" s="192" t="s">
        <v>1139</v>
      </c>
      <c r="AA36" s="192">
        <v>0</v>
      </c>
      <c r="AB36" s="191" t="s">
        <v>1057</v>
      </c>
      <c r="AC36"/>
    </row>
    <row r="37" spans="1:29" ht="19.95" customHeight="1" x14ac:dyDescent="0.35">
      <c r="A37" s="107" t="s">
        <v>791</v>
      </c>
      <c r="B37" s="74">
        <v>0</v>
      </c>
      <c r="C37" s="78" t="s">
        <v>843</v>
      </c>
      <c r="D37" s="81">
        <v>1</v>
      </c>
      <c r="E37" s="81">
        <v>5</v>
      </c>
      <c r="F37" s="81">
        <v>5</v>
      </c>
      <c r="G37" s="85">
        <v>0.01</v>
      </c>
      <c r="H37" s="85">
        <v>0.01</v>
      </c>
      <c r="I37" s="85">
        <v>0.01</v>
      </c>
      <c r="J37" s="81">
        <v>2</v>
      </c>
      <c r="K37" s="88">
        <v>0</v>
      </c>
      <c r="L37" s="88">
        <v>0</v>
      </c>
      <c r="M37" s="88">
        <v>1</v>
      </c>
      <c r="N37" s="88">
        <v>1</v>
      </c>
      <c r="O37" s="88">
        <v>2</v>
      </c>
      <c r="P37" s="88">
        <v>1</v>
      </c>
      <c r="Q37" s="88">
        <v>0</v>
      </c>
      <c r="R37" s="97">
        <v>15</v>
      </c>
      <c r="S37" s="81">
        <v>1</v>
      </c>
      <c r="T37" s="81">
        <v>5</v>
      </c>
      <c r="U37" s="85">
        <v>0</v>
      </c>
      <c r="V37" s="91">
        <f t="shared" si="2"/>
        <v>-3.1300000000000001E-2</v>
      </c>
      <c r="W37" s="100">
        <f t="shared" si="4"/>
        <v>-3.13</v>
      </c>
      <c r="X37" s="90">
        <v>4.13</v>
      </c>
      <c r="Y37" s="192">
        <v>0</v>
      </c>
      <c r="Z37" s="192">
        <v>0</v>
      </c>
      <c r="AA37" s="192">
        <v>0</v>
      </c>
      <c r="AB37" s="195" t="s">
        <v>1056</v>
      </c>
      <c r="AC37"/>
    </row>
    <row r="38" spans="1:29" ht="19.95" customHeight="1" x14ac:dyDescent="0.35">
      <c r="A38" s="107" t="s">
        <v>792</v>
      </c>
      <c r="B38" s="74">
        <v>0</v>
      </c>
      <c r="C38" s="78" t="s">
        <v>843</v>
      </c>
      <c r="D38" s="81">
        <v>0.5</v>
      </c>
      <c r="E38" s="81">
        <v>0.5</v>
      </c>
      <c r="F38" s="81">
        <v>0</v>
      </c>
      <c r="G38" s="85">
        <v>5.0000000000000001E-3</v>
      </c>
      <c r="H38" s="85">
        <v>5.0000000000000001E-3</v>
      </c>
      <c r="I38" s="85">
        <v>5.0000000000000001E-3</v>
      </c>
      <c r="J38" s="81">
        <v>0</v>
      </c>
      <c r="K38" s="88">
        <v>0</v>
      </c>
      <c r="L38" s="88">
        <v>0</v>
      </c>
      <c r="M38" s="88">
        <v>0</v>
      </c>
      <c r="N38" s="88">
        <v>0.25</v>
      </c>
      <c r="O38" s="88">
        <v>0.25</v>
      </c>
      <c r="P38" s="88">
        <v>0.25</v>
      </c>
      <c r="Q38" s="88">
        <v>0</v>
      </c>
      <c r="R38" s="97">
        <v>15</v>
      </c>
      <c r="S38" s="81">
        <v>0.5</v>
      </c>
      <c r="T38" s="81">
        <v>0.5</v>
      </c>
      <c r="U38" s="85">
        <v>5.0000000000000001E-3</v>
      </c>
      <c r="V38" s="91">
        <f t="shared" si="2"/>
        <v>-3.6299999999999999E-2</v>
      </c>
      <c r="W38" s="100">
        <f t="shared" si="4"/>
        <v>-3.63</v>
      </c>
      <c r="X38" s="90">
        <v>4.13</v>
      </c>
      <c r="Y38" s="192">
        <v>1</v>
      </c>
      <c r="Z38" s="192">
        <v>0</v>
      </c>
      <c r="AA38" s="192">
        <v>1</v>
      </c>
      <c r="AB38" s="195" t="s">
        <v>1056</v>
      </c>
      <c r="AC38"/>
    </row>
    <row r="39" spans="1:29" ht="19.95" customHeight="1" x14ac:dyDescent="0.35">
      <c r="A39" s="108" t="s">
        <v>793</v>
      </c>
      <c r="B39" s="74">
        <v>1180</v>
      </c>
      <c r="C39" s="78">
        <v>2</v>
      </c>
      <c r="D39" s="81">
        <v>1</v>
      </c>
      <c r="E39" s="81">
        <v>5</v>
      </c>
      <c r="F39" s="81">
        <v>0</v>
      </c>
      <c r="G39" s="85">
        <v>0.05</v>
      </c>
      <c r="H39" s="85">
        <v>0.05</v>
      </c>
      <c r="I39" s="85">
        <v>0.01</v>
      </c>
      <c r="J39" s="81">
        <v>0</v>
      </c>
      <c r="K39" s="88">
        <v>0</v>
      </c>
      <c r="L39" s="88">
        <v>0</v>
      </c>
      <c r="M39" s="88">
        <v>0</v>
      </c>
      <c r="N39" s="88">
        <v>0</v>
      </c>
      <c r="O39" s="88">
        <v>0</v>
      </c>
      <c r="P39" s="88">
        <v>0</v>
      </c>
      <c r="Q39" s="88">
        <v>0</v>
      </c>
      <c r="R39" s="97">
        <v>5</v>
      </c>
      <c r="S39" s="81">
        <v>1</v>
      </c>
      <c r="T39" s="81">
        <v>5</v>
      </c>
      <c r="U39" s="85">
        <v>0</v>
      </c>
      <c r="V39" s="91">
        <f t="shared" si="2"/>
        <v>-3.1300000000000001E-2</v>
      </c>
      <c r="W39" s="100">
        <f t="shared" si="4"/>
        <v>0.87000000000000011</v>
      </c>
      <c r="X39" s="90">
        <v>4.13</v>
      </c>
      <c r="Y39" s="192">
        <v>0</v>
      </c>
      <c r="Z39" s="192">
        <v>0</v>
      </c>
      <c r="AA39" s="192">
        <v>0</v>
      </c>
      <c r="AB39" s="191" t="s">
        <v>1057</v>
      </c>
      <c r="AC39"/>
    </row>
    <row r="40" spans="1:29" ht="19.95" customHeight="1" x14ac:dyDescent="0.35">
      <c r="A40" s="108" t="s">
        <v>794</v>
      </c>
      <c r="B40" s="74">
        <v>590</v>
      </c>
      <c r="C40" s="78">
        <v>1</v>
      </c>
      <c r="D40" s="81">
        <v>0.25</v>
      </c>
      <c r="E40" s="81">
        <v>1.25</v>
      </c>
      <c r="F40" s="81">
        <v>0</v>
      </c>
      <c r="G40" s="85">
        <v>2.5000000000000001E-2</v>
      </c>
      <c r="H40" s="85">
        <v>1.2500000000000001E-2</v>
      </c>
      <c r="I40" s="85">
        <v>2.5000000000000001E-3</v>
      </c>
      <c r="J40" s="81">
        <v>0</v>
      </c>
      <c r="K40" s="88">
        <v>0</v>
      </c>
      <c r="L40" s="88">
        <v>0</v>
      </c>
      <c r="M40" s="88">
        <v>0</v>
      </c>
      <c r="N40" s="88">
        <v>0.25</v>
      </c>
      <c r="O40" s="88">
        <v>0.25</v>
      </c>
      <c r="P40" s="88">
        <v>0.25</v>
      </c>
      <c r="Q40" s="88">
        <v>0</v>
      </c>
      <c r="R40" s="97">
        <v>1.25</v>
      </c>
      <c r="S40" s="81">
        <v>1.25</v>
      </c>
      <c r="T40" s="81">
        <v>1.25</v>
      </c>
      <c r="U40" s="85">
        <v>0</v>
      </c>
      <c r="V40" s="91">
        <f t="shared" si="2"/>
        <v>-3.8800000000000001E-2</v>
      </c>
      <c r="W40" s="100">
        <f t="shared" si="4"/>
        <v>-2.88</v>
      </c>
      <c r="X40" s="90">
        <v>4.13</v>
      </c>
      <c r="Y40" s="192">
        <v>0</v>
      </c>
      <c r="Z40" s="192">
        <v>0</v>
      </c>
      <c r="AA40" s="192">
        <v>0</v>
      </c>
      <c r="AB40" s="195" t="s">
        <v>1056</v>
      </c>
      <c r="AC40"/>
    </row>
    <row r="41" spans="1:29" ht="19.95" customHeight="1" x14ac:dyDescent="0.35">
      <c r="A41" s="108" t="s">
        <v>795</v>
      </c>
      <c r="B41" s="74">
        <v>590</v>
      </c>
      <c r="C41" s="78">
        <v>1</v>
      </c>
      <c r="D41" s="81">
        <v>0.16</v>
      </c>
      <c r="E41" s="81">
        <v>0.16</v>
      </c>
      <c r="F41" s="81">
        <v>0</v>
      </c>
      <c r="G41" s="85">
        <v>1.6000000000000001E-3</v>
      </c>
      <c r="H41" s="85">
        <v>1.6000000000000001E-3</v>
      </c>
      <c r="I41" s="85">
        <v>1.6000000000000001E-3</v>
      </c>
      <c r="J41" s="81">
        <v>0.16</v>
      </c>
      <c r="K41" s="88">
        <v>0</v>
      </c>
      <c r="L41" s="88">
        <v>0</v>
      </c>
      <c r="M41" s="88">
        <v>0</v>
      </c>
      <c r="N41" s="88">
        <v>0.16</v>
      </c>
      <c r="O41" s="88">
        <v>0.16</v>
      </c>
      <c r="P41" s="88">
        <v>0.16</v>
      </c>
      <c r="Q41" s="88">
        <v>0</v>
      </c>
      <c r="R41" s="97">
        <v>1.67</v>
      </c>
      <c r="S41" s="81">
        <v>1.67</v>
      </c>
      <c r="T41" s="81">
        <v>1.67</v>
      </c>
      <c r="U41" s="85">
        <v>1.6000000000000001E-3</v>
      </c>
      <c r="V41" s="91">
        <f t="shared" si="2"/>
        <v>-3.9699999999999999E-2</v>
      </c>
      <c r="W41" s="100">
        <f t="shared" si="4"/>
        <v>-3.9699999999999998</v>
      </c>
      <c r="X41" s="90">
        <v>4.13</v>
      </c>
      <c r="Y41" s="192">
        <v>0</v>
      </c>
      <c r="Z41" s="192">
        <v>0</v>
      </c>
      <c r="AA41" s="192">
        <v>0</v>
      </c>
      <c r="AB41" s="195" t="s">
        <v>1056</v>
      </c>
      <c r="AC41"/>
    </row>
    <row r="42" spans="1:29" ht="19.95" customHeight="1" x14ac:dyDescent="0.35">
      <c r="A42" s="108" t="s">
        <v>290</v>
      </c>
      <c r="B42" s="74">
        <v>1770</v>
      </c>
      <c r="C42" s="78">
        <v>2</v>
      </c>
      <c r="D42" s="81">
        <v>0.25</v>
      </c>
      <c r="E42" s="81">
        <v>0.25</v>
      </c>
      <c r="F42" s="81">
        <v>0</v>
      </c>
      <c r="G42" s="85">
        <v>2.5999999999999999E-3</v>
      </c>
      <c r="H42" s="85">
        <v>2.5999999999999999E-3</v>
      </c>
      <c r="I42" s="85">
        <v>2.5999999999999999E-3</v>
      </c>
      <c r="J42" s="81">
        <v>0.26</v>
      </c>
      <c r="K42" s="88">
        <v>0</v>
      </c>
      <c r="L42" s="88">
        <v>0</v>
      </c>
      <c r="M42" s="88">
        <v>0</v>
      </c>
      <c r="N42" s="88">
        <v>0.26</v>
      </c>
      <c r="O42" s="88">
        <v>0.26</v>
      </c>
      <c r="P42" s="88">
        <v>0.26</v>
      </c>
      <c r="Q42" s="88">
        <v>6.25</v>
      </c>
      <c r="R42" s="97">
        <v>2.5</v>
      </c>
      <c r="S42" s="81">
        <v>2.5</v>
      </c>
      <c r="T42" s="81">
        <v>2.5</v>
      </c>
      <c r="U42" s="85">
        <v>2.5000000000000001E-3</v>
      </c>
      <c r="V42" s="91">
        <f t="shared" si="2"/>
        <v>-3.8699999999999998E-2</v>
      </c>
      <c r="W42" s="100">
        <f t="shared" si="4"/>
        <v>-3.87</v>
      </c>
      <c r="X42" s="90">
        <v>4.13</v>
      </c>
      <c r="Y42" s="192">
        <v>2</v>
      </c>
      <c r="Z42" s="192">
        <v>0</v>
      </c>
      <c r="AA42" s="192">
        <v>0</v>
      </c>
      <c r="AB42" s="191" t="s">
        <v>1057</v>
      </c>
      <c r="AC42"/>
    </row>
    <row r="43" spans="1:29" ht="19.95" customHeight="1" x14ac:dyDescent="0.35">
      <c r="A43" s="108" t="s">
        <v>796</v>
      </c>
      <c r="B43" s="74">
        <v>5900</v>
      </c>
      <c r="C43" s="78">
        <v>10</v>
      </c>
      <c r="D43" s="81">
        <v>0.5</v>
      </c>
      <c r="E43" s="81">
        <v>0.5</v>
      </c>
      <c r="F43" s="81">
        <v>0</v>
      </c>
      <c r="G43" s="85">
        <v>5.0000000000000001E-3</v>
      </c>
      <c r="H43" s="85">
        <v>5.0000000000000001E-3</v>
      </c>
      <c r="I43" s="85">
        <v>5.0000000000000001E-3</v>
      </c>
      <c r="J43" s="81">
        <v>0.5</v>
      </c>
      <c r="K43" s="88">
        <v>0</v>
      </c>
      <c r="L43" s="88">
        <v>0</v>
      </c>
      <c r="M43" s="88">
        <v>0</v>
      </c>
      <c r="N43" s="88">
        <v>0.5</v>
      </c>
      <c r="O43" s="88">
        <v>0.5</v>
      </c>
      <c r="P43" s="88">
        <v>0.5</v>
      </c>
      <c r="Q43" s="88">
        <v>0</v>
      </c>
      <c r="R43" s="97">
        <v>2.5</v>
      </c>
      <c r="S43" s="81">
        <v>4.5</v>
      </c>
      <c r="T43" s="81">
        <v>4.5</v>
      </c>
      <c r="U43" s="85">
        <v>5.0000000000000001E-3</v>
      </c>
      <c r="V43" s="91">
        <f t="shared" si="2"/>
        <v>-1.8500000000000003E-2</v>
      </c>
      <c r="W43" s="100">
        <f t="shared" si="4"/>
        <v>-1.85</v>
      </c>
      <c r="X43" s="90">
        <v>2.35</v>
      </c>
      <c r="Y43" s="192">
        <v>2</v>
      </c>
      <c r="Z43" s="192">
        <v>8</v>
      </c>
      <c r="AA43" s="192">
        <v>0</v>
      </c>
      <c r="AB43" s="191" t="s">
        <v>1057</v>
      </c>
      <c r="AC43"/>
    </row>
    <row r="44" spans="1:29" ht="19.95" customHeight="1" x14ac:dyDescent="0.35">
      <c r="A44" s="109" t="s">
        <v>797</v>
      </c>
      <c r="B44" s="74">
        <v>7080</v>
      </c>
      <c r="C44" s="78" t="s">
        <v>843</v>
      </c>
      <c r="D44" s="81">
        <v>0.83</v>
      </c>
      <c r="E44" s="81">
        <v>1.66</v>
      </c>
      <c r="F44" s="81">
        <v>0</v>
      </c>
      <c r="G44" s="85">
        <v>8.3000000000000001E-3</v>
      </c>
      <c r="H44" s="85">
        <v>8.3000000000000001E-3</v>
      </c>
      <c r="I44" s="85">
        <v>8.3000000000000001E-3</v>
      </c>
      <c r="J44" s="81">
        <v>0.17</v>
      </c>
      <c r="K44" s="88">
        <v>0.83</v>
      </c>
      <c r="L44" s="88">
        <v>0.83</v>
      </c>
      <c r="M44" s="88">
        <v>0.83</v>
      </c>
      <c r="N44" s="88">
        <v>0.83</v>
      </c>
      <c r="O44" s="88">
        <v>0.17</v>
      </c>
      <c r="P44" s="88">
        <v>0.83</v>
      </c>
      <c r="Q44" s="88">
        <v>0</v>
      </c>
      <c r="R44" s="97">
        <v>0.83</v>
      </c>
      <c r="S44" s="81">
        <v>0.83</v>
      </c>
      <c r="T44" s="81">
        <v>0.83</v>
      </c>
      <c r="U44" s="85">
        <v>0</v>
      </c>
      <c r="V44" s="91">
        <f t="shared" ref="V44:V68" si="5">(I44*100-X44)/100</f>
        <v>8.3000000000000001E-3</v>
      </c>
      <c r="W44" s="100">
        <f t="shared" si="4"/>
        <v>0.83</v>
      </c>
      <c r="X44" s="90">
        <v>0</v>
      </c>
      <c r="Y44" s="192">
        <v>4</v>
      </c>
      <c r="Z44" s="192">
        <v>16</v>
      </c>
      <c r="AA44" s="192">
        <v>4</v>
      </c>
      <c r="AB44" s="195" t="s">
        <v>1056</v>
      </c>
      <c r="AC44"/>
    </row>
    <row r="45" spans="1:29" ht="19.95" customHeight="1" x14ac:dyDescent="0.35">
      <c r="A45" s="109" t="s">
        <v>798</v>
      </c>
      <c r="B45" s="74">
        <v>3540</v>
      </c>
      <c r="C45" s="78" t="s">
        <v>843</v>
      </c>
      <c r="D45" s="81">
        <v>0.8</v>
      </c>
      <c r="E45" s="81">
        <v>1.66</v>
      </c>
      <c r="F45" s="81">
        <v>0</v>
      </c>
      <c r="G45" s="85">
        <v>8.3000000000000001E-3</v>
      </c>
      <c r="H45" s="85">
        <v>8.3000000000000001E-3</v>
      </c>
      <c r="I45" s="85">
        <v>8.3000000000000001E-3</v>
      </c>
      <c r="J45" s="81">
        <v>0.17</v>
      </c>
      <c r="K45" s="88">
        <v>0.83</v>
      </c>
      <c r="L45" s="88">
        <v>0.83</v>
      </c>
      <c r="M45" s="88">
        <v>0.83</v>
      </c>
      <c r="N45" s="88">
        <v>0.83</v>
      </c>
      <c r="O45" s="88">
        <v>0.17</v>
      </c>
      <c r="P45" s="88">
        <v>0.83</v>
      </c>
      <c r="Q45" s="88">
        <v>0</v>
      </c>
      <c r="R45" s="97">
        <v>0.5</v>
      </c>
      <c r="S45" s="81">
        <v>0.83</v>
      </c>
      <c r="T45" s="81">
        <v>0.83</v>
      </c>
      <c r="U45" s="85">
        <v>0</v>
      </c>
      <c r="V45" s="91">
        <f t="shared" si="5"/>
        <v>-3.4999999999999996E-3</v>
      </c>
      <c r="W45" s="100">
        <f t="shared" si="4"/>
        <v>-0.35</v>
      </c>
      <c r="X45" s="90">
        <v>1.18</v>
      </c>
      <c r="Y45" s="192">
        <v>4</v>
      </c>
      <c r="Z45" s="192">
        <v>8</v>
      </c>
      <c r="AA45" s="192">
        <v>4</v>
      </c>
      <c r="AB45" s="195" t="s">
        <v>1056</v>
      </c>
      <c r="AC45"/>
    </row>
    <row r="46" spans="1:29" ht="19.95" customHeight="1" x14ac:dyDescent="0.35">
      <c r="A46" s="109" t="s">
        <v>799</v>
      </c>
      <c r="B46" s="74">
        <v>0</v>
      </c>
      <c r="C46" s="78" t="s">
        <v>843</v>
      </c>
      <c r="D46" s="81">
        <v>0.5</v>
      </c>
      <c r="E46" s="81">
        <v>1.66</v>
      </c>
      <c r="F46" s="81">
        <v>0</v>
      </c>
      <c r="G46" s="85">
        <v>5.0000000000000001E-3</v>
      </c>
      <c r="H46" s="85">
        <v>5.0000000000000001E-3</v>
      </c>
      <c r="I46" s="85">
        <v>5.0000000000000001E-3</v>
      </c>
      <c r="J46" s="81">
        <v>0.17</v>
      </c>
      <c r="K46" s="88">
        <v>0.5</v>
      </c>
      <c r="L46" s="88">
        <v>0.5</v>
      </c>
      <c r="M46" s="88">
        <v>0.5</v>
      </c>
      <c r="N46" s="88">
        <v>0.5</v>
      </c>
      <c r="O46" s="88">
        <v>0.17</v>
      </c>
      <c r="P46" s="88">
        <v>0.5</v>
      </c>
      <c r="Q46" s="88">
        <v>0</v>
      </c>
      <c r="R46" s="97">
        <v>0.5</v>
      </c>
      <c r="S46" s="81">
        <v>0.5</v>
      </c>
      <c r="T46" s="81">
        <v>0.5</v>
      </c>
      <c r="U46" s="85">
        <v>0</v>
      </c>
      <c r="V46" s="91">
        <f t="shared" si="5"/>
        <v>-1.2699999999999999E-2</v>
      </c>
      <c r="W46" s="100">
        <f t="shared" si="4"/>
        <v>-1.27</v>
      </c>
      <c r="X46" s="90">
        <v>1.77</v>
      </c>
      <c r="Y46" s="192">
        <v>2</v>
      </c>
      <c r="Z46" s="192">
        <v>8</v>
      </c>
      <c r="AA46" s="192">
        <v>4</v>
      </c>
      <c r="AB46" s="195" t="s">
        <v>1056</v>
      </c>
      <c r="AC46"/>
    </row>
    <row r="47" spans="1:29" ht="19.95" customHeight="1" x14ac:dyDescent="0.35">
      <c r="A47" s="109" t="s">
        <v>800</v>
      </c>
      <c r="B47" s="74">
        <v>0</v>
      </c>
      <c r="C47" s="78" t="s">
        <v>843</v>
      </c>
      <c r="D47" s="81">
        <v>0.5</v>
      </c>
      <c r="E47" s="81">
        <v>1.66</v>
      </c>
      <c r="F47" s="81">
        <v>0</v>
      </c>
      <c r="G47" s="85">
        <v>5.0000000000000001E-3</v>
      </c>
      <c r="H47" s="85">
        <v>5.0000000000000001E-3</v>
      </c>
      <c r="I47" s="85">
        <v>5.0000000000000001E-3</v>
      </c>
      <c r="J47" s="81">
        <v>0.17</v>
      </c>
      <c r="K47" s="88">
        <v>0.5</v>
      </c>
      <c r="L47" s="88">
        <v>0.5</v>
      </c>
      <c r="M47" s="88">
        <v>0.5</v>
      </c>
      <c r="N47" s="88">
        <v>0.5</v>
      </c>
      <c r="O47" s="88">
        <v>0.17</v>
      </c>
      <c r="P47" s="88">
        <v>0.5</v>
      </c>
      <c r="Q47" s="88">
        <v>0</v>
      </c>
      <c r="R47" s="97">
        <v>0.5</v>
      </c>
      <c r="S47" s="81">
        <v>0.5</v>
      </c>
      <c r="T47" s="81">
        <v>0.5</v>
      </c>
      <c r="U47" s="85">
        <v>0</v>
      </c>
      <c r="V47" s="91">
        <f t="shared" si="5"/>
        <v>-1.84E-2</v>
      </c>
      <c r="W47" s="100">
        <f t="shared" si="4"/>
        <v>-1.8399999999999999</v>
      </c>
      <c r="X47" s="90">
        <v>2.34</v>
      </c>
      <c r="Y47" s="192">
        <v>2</v>
      </c>
      <c r="Z47" s="192">
        <v>0</v>
      </c>
      <c r="AA47" s="192">
        <v>4</v>
      </c>
      <c r="AB47" s="195" t="s">
        <v>1056</v>
      </c>
      <c r="AC47"/>
    </row>
    <row r="48" spans="1:29" ht="19.95" customHeight="1" x14ac:dyDescent="0.35">
      <c r="A48" s="109" t="s">
        <v>801</v>
      </c>
      <c r="B48" s="74">
        <v>0</v>
      </c>
      <c r="C48" s="78" t="s">
        <v>843</v>
      </c>
      <c r="D48" s="81">
        <v>0.5</v>
      </c>
      <c r="E48" s="81">
        <v>1.66</v>
      </c>
      <c r="F48" s="81">
        <v>0</v>
      </c>
      <c r="G48" s="85">
        <v>5.0000000000000001E-3</v>
      </c>
      <c r="H48" s="85">
        <v>5.0000000000000001E-3</v>
      </c>
      <c r="I48" s="85">
        <v>5.0000000000000001E-3</v>
      </c>
      <c r="J48" s="81">
        <v>0.17</v>
      </c>
      <c r="K48" s="88">
        <v>0.5</v>
      </c>
      <c r="L48" s="88">
        <v>0.5</v>
      </c>
      <c r="M48" s="88">
        <v>0.5</v>
      </c>
      <c r="N48" s="88">
        <v>0.5</v>
      </c>
      <c r="O48" s="88">
        <v>0.17</v>
      </c>
      <c r="P48" s="88">
        <v>0.5</v>
      </c>
      <c r="Q48" s="88">
        <v>0</v>
      </c>
      <c r="R48" s="97">
        <v>0.5</v>
      </c>
      <c r="S48" s="81">
        <v>0.5</v>
      </c>
      <c r="T48" s="81">
        <v>0.5</v>
      </c>
      <c r="U48" s="85">
        <v>0</v>
      </c>
      <c r="V48" s="91">
        <f t="shared" si="5"/>
        <v>-3.6299999999999999E-2</v>
      </c>
      <c r="W48" s="100">
        <f t="shared" si="4"/>
        <v>-3.63</v>
      </c>
      <c r="X48" s="90">
        <v>4.13</v>
      </c>
      <c r="Y48" s="192">
        <v>0</v>
      </c>
      <c r="Z48" s="192">
        <v>0</v>
      </c>
      <c r="AA48" s="192">
        <v>0</v>
      </c>
      <c r="AB48" s="195" t="s">
        <v>1056</v>
      </c>
      <c r="AC48"/>
    </row>
    <row r="49" spans="1:29" ht="19.95" customHeight="1" x14ac:dyDescent="0.35">
      <c r="A49" s="109" t="s">
        <v>802</v>
      </c>
      <c r="B49" s="74">
        <v>0</v>
      </c>
      <c r="C49" s="78" t="s">
        <v>843</v>
      </c>
      <c r="D49" s="81">
        <v>0.5</v>
      </c>
      <c r="E49" s="81">
        <v>1.66</v>
      </c>
      <c r="F49" s="81">
        <v>0</v>
      </c>
      <c r="G49" s="85">
        <v>5.0000000000000001E-3</v>
      </c>
      <c r="H49" s="85">
        <v>5.0000000000000001E-3</v>
      </c>
      <c r="I49" s="85">
        <v>5.0000000000000001E-3</v>
      </c>
      <c r="J49" s="81">
        <v>0.17</v>
      </c>
      <c r="K49" s="88">
        <v>0.5</v>
      </c>
      <c r="L49" s="88">
        <v>0.5</v>
      </c>
      <c r="M49" s="88">
        <v>0.5</v>
      </c>
      <c r="N49" s="88">
        <v>0.5</v>
      </c>
      <c r="O49" s="88">
        <v>0.5</v>
      </c>
      <c r="P49" s="88">
        <v>0.5</v>
      </c>
      <c r="Q49" s="88">
        <v>0</v>
      </c>
      <c r="R49" s="97">
        <v>0.5</v>
      </c>
      <c r="S49" s="81">
        <v>0.5</v>
      </c>
      <c r="T49" s="81">
        <v>0.5</v>
      </c>
      <c r="U49" s="85">
        <v>0</v>
      </c>
      <c r="V49" s="91">
        <f t="shared" si="5"/>
        <v>-3.6299999999999999E-2</v>
      </c>
      <c r="W49" s="100">
        <f t="shared" si="4"/>
        <v>-3.63</v>
      </c>
      <c r="X49" s="90">
        <v>4.13</v>
      </c>
      <c r="Y49" s="192">
        <v>0</v>
      </c>
      <c r="Z49" s="192">
        <v>0</v>
      </c>
      <c r="AA49" s="192">
        <v>0</v>
      </c>
      <c r="AB49" s="195" t="s">
        <v>1056</v>
      </c>
      <c r="AC49"/>
    </row>
    <row r="50" spans="1:29" ht="19.95" customHeight="1" x14ac:dyDescent="0.35">
      <c r="A50" s="109" t="s">
        <v>803</v>
      </c>
      <c r="B50" s="74">
        <v>590</v>
      </c>
      <c r="C50" s="78" t="s">
        <v>843</v>
      </c>
      <c r="D50" s="81">
        <v>1</v>
      </c>
      <c r="E50" s="81">
        <v>1</v>
      </c>
      <c r="F50" s="81">
        <v>0</v>
      </c>
      <c r="G50" s="85">
        <v>0.01</v>
      </c>
      <c r="H50" s="85">
        <v>0.01</v>
      </c>
      <c r="I50" s="85">
        <v>0.01</v>
      </c>
      <c r="J50" s="81">
        <v>1</v>
      </c>
      <c r="K50" s="88">
        <v>1</v>
      </c>
      <c r="L50" s="88">
        <v>0</v>
      </c>
      <c r="M50" s="88">
        <v>0</v>
      </c>
      <c r="N50" s="88">
        <v>1</v>
      </c>
      <c r="O50" s="88">
        <v>1</v>
      </c>
      <c r="P50" s="88">
        <v>1</v>
      </c>
      <c r="Q50" s="88">
        <v>0</v>
      </c>
      <c r="R50" s="97">
        <v>10</v>
      </c>
      <c r="S50" s="81">
        <v>1</v>
      </c>
      <c r="T50" s="81">
        <v>1</v>
      </c>
      <c r="U50" s="85">
        <v>0.01</v>
      </c>
      <c r="V50" s="91">
        <f t="shared" si="5"/>
        <v>-3.1300000000000001E-2</v>
      </c>
      <c r="W50" s="100">
        <f t="shared" si="4"/>
        <v>-3.13</v>
      </c>
      <c r="X50" s="90">
        <v>4.13</v>
      </c>
      <c r="Y50" s="192">
        <v>0</v>
      </c>
      <c r="Z50" s="192">
        <v>0</v>
      </c>
      <c r="AA50" s="192">
        <v>4</v>
      </c>
      <c r="AB50" s="195" t="s">
        <v>1056</v>
      </c>
      <c r="AC50"/>
    </row>
    <row r="51" spans="1:29" ht="19.95" customHeight="1" x14ac:dyDescent="0.35">
      <c r="A51" s="109" t="s">
        <v>804</v>
      </c>
      <c r="B51" s="74">
        <v>590</v>
      </c>
      <c r="C51" s="78">
        <v>1.5</v>
      </c>
      <c r="D51" s="81">
        <v>0.33</v>
      </c>
      <c r="E51" s="81">
        <v>0.33</v>
      </c>
      <c r="F51" s="81">
        <v>0</v>
      </c>
      <c r="G51" s="85">
        <v>3.3E-3</v>
      </c>
      <c r="H51" s="85">
        <v>3.3E-3</v>
      </c>
      <c r="I51" s="85">
        <v>3.3E-3</v>
      </c>
      <c r="J51" s="81">
        <v>5</v>
      </c>
      <c r="K51" s="88">
        <v>0.33</v>
      </c>
      <c r="L51" s="88">
        <v>0.33</v>
      </c>
      <c r="M51" s="88">
        <v>0.33</v>
      </c>
      <c r="N51" s="88">
        <v>0.33</v>
      </c>
      <c r="O51" s="88">
        <v>0.33</v>
      </c>
      <c r="P51" s="88">
        <v>0.33</v>
      </c>
      <c r="Q51" s="88">
        <v>5</v>
      </c>
      <c r="R51" s="97">
        <v>0</v>
      </c>
      <c r="S51" s="81">
        <v>5</v>
      </c>
      <c r="T51" s="81">
        <v>5</v>
      </c>
      <c r="U51" s="85">
        <v>5.0000000000000001E-3</v>
      </c>
      <c r="V51" s="91">
        <f t="shared" si="5"/>
        <v>-3.7999999999999999E-2</v>
      </c>
      <c r="W51" s="100">
        <f t="shared" si="4"/>
        <v>-3.8</v>
      </c>
      <c r="X51" s="90">
        <v>4.13</v>
      </c>
      <c r="Y51" s="192">
        <v>1</v>
      </c>
      <c r="Z51" s="192">
        <v>0</v>
      </c>
      <c r="AA51" s="192">
        <v>0</v>
      </c>
      <c r="AB51" s="195" t="s">
        <v>1056</v>
      </c>
      <c r="AC51"/>
    </row>
    <row r="52" spans="1:29" ht="19.95" customHeight="1" x14ac:dyDescent="0.35">
      <c r="A52" s="110" t="s">
        <v>221</v>
      </c>
      <c r="B52" s="74">
        <v>2950</v>
      </c>
      <c r="C52" s="78">
        <v>2.5</v>
      </c>
      <c r="D52" s="81">
        <v>0.75</v>
      </c>
      <c r="E52" s="81">
        <v>3.75</v>
      </c>
      <c r="F52" s="81">
        <v>0</v>
      </c>
      <c r="G52" s="85">
        <v>3.7499999999999999E-2</v>
      </c>
      <c r="H52" s="85">
        <v>3.7499999999999999E-2</v>
      </c>
      <c r="I52" s="85">
        <v>7.4999999999999997E-3</v>
      </c>
      <c r="J52" s="81">
        <v>0</v>
      </c>
      <c r="K52" s="88">
        <v>0</v>
      </c>
      <c r="L52" s="88">
        <v>0</v>
      </c>
      <c r="M52" s="88">
        <v>0</v>
      </c>
      <c r="N52" s="88">
        <v>0</v>
      </c>
      <c r="O52" s="88">
        <v>0</v>
      </c>
      <c r="P52" s="88">
        <v>0</v>
      </c>
      <c r="Q52" s="88">
        <v>0</v>
      </c>
      <c r="R52" s="97">
        <v>3.75</v>
      </c>
      <c r="S52" s="81">
        <v>0</v>
      </c>
      <c r="T52" s="81">
        <v>0</v>
      </c>
      <c r="U52" s="85">
        <v>7.4999999999999997E-3</v>
      </c>
      <c r="V52" s="160">
        <f t="shared" si="5"/>
        <v>-1.61E-2</v>
      </c>
      <c r="W52" s="161">
        <f t="shared" si="4"/>
        <v>1.3900000000000001</v>
      </c>
      <c r="X52" s="90">
        <v>2.36</v>
      </c>
      <c r="Y52" s="192" t="s">
        <v>1139</v>
      </c>
      <c r="Z52" s="192">
        <v>0</v>
      </c>
      <c r="AA52" s="192">
        <v>0</v>
      </c>
      <c r="AB52" s="195" t="s">
        <v>1056</v>
      </c>
      <c r="AC52"/>
    </row>
    <row r="53" spans="1:29" ht="19.95" customHeight="1" x14ac:dyDescent="0.35">
      <c r="A53" s="110" t="s">
        <v>805</v>
      </c>
      <c r="B53" s="74">
        <v>2950</v>
      </c>
      <c r="C53" s="78">
        <v>2.5</v>
      </c>
      <c r="D53" s="81">
        <v>0.75</v>
      </c>
      <c r="E53" s="81">
        <v>3.75</v>
      </c>
      <c r="F53" s="81">
        <v>0</v>
      </c>
      <c r="G53" s="85">
        <v>3.7499999999999999E-2</v>
      </c>
      <c r="H53" s="85">
        <v>3.7499999999999999E-2</v>
      </c>
      <c r="I53" s="85">
        <v>7.4999999999999997E-3</v>
      </c>
      <c r="J53" s="81">
        <v>0</v>
      </c>
      <c r="K53" s="88">
        <v>0</v>
      </c>
      <c r="L53" s="88">
        <v>0</v>
      </c>
      <c r="M53" s="88">
        <v>0</v>
      </c>
      <c r="N53" s="88">
        <v>0</v>
      </c>
      <c r="O53" s="88">
        <v>0</v>
      </c>
      <c r="P53" s="88">
        <v>0</v>
      </c>
      <c r="Q53" s="88">
        <v>0</v>
      </c>
      <c r="R53" s="97">
        <v>3.75</v>
      </c>
      <c r="S53" s="81">
        <v>0</v>
      </c>
      <c r="T53" s="81">
        <v>0</v>
      </c>
      <c r="U53" s="85">
        <v>7.4999999999999997E-3</v>
      </c>
      <c r="V53" s="92">
        <f t="shared" si="5"/>
        <v>-1.61E-2</v>
      </c>
      <c r="W53" s="102">
        <f t="shared" si="4"/>
        <v>1.3900000000000001</v>
      </c>
      <c r="X53" s="90">
        <v>2.36</v>
      </c>
      <c r="Y53" s="192" t="s">
        <v>1139</v>
      </c>
      <c r="Z53" s="192">
        <v>0</v>
      </c>
      <c r="AA53" s="192">
        <v>0</v>
      </c>
      <c r="AB53" s="195" t="s">
        <v>1056</v>
      </c>
      <c r="AC53"/>
    </row>
    <row r="54" spans="1:29" ht="19.95" customHeight="1" x14ac:dyDescent="0.35">
      <c r="A54" s="110" t="s">
        <v>222</v>
      </c>
      <c r="B54" s="74">
        <v>0</v>
      </c>
      <c r="C54" s="78">
        <v>1</v>
      </c>
      <c r="D54" s="81">
        <v>0.5</v>
      </c>
      <c r="E54" s="81">
        <v>2.5</v>
      </c>
      <c r="F54" s="81">
        <v>0</v>
      </c>
      <c r="G54" s="85">
        <v>5.0000000000000001E-3</v>
      </c>
      <c r="H54" s="85">
        <v>5.0000000000000001E-3</v>
      </c>
      <c r="I54" s="85">
        <v>5.0000000000000001E-3</v>
      </c>
      <c r="J54" s="81">
        <v>0</v>
      </c>
      <c r="K54" s="88">
        <v>0</v>
      </c>
      <c r="L54" s="88">
        <v>0</v>
      </c>
      <c r="M54" s="88">
        <v>0</v>
      </c>
      <c r="N54" s="88">
        <v>0</v>
      </c>
      <c r="O54" s="88">
        <v>0</v>
      </c>
      <c r="P54" s="88">
        <v>0</v>
      </c>
      <c r="Q54" s="88">
        <v>0</v>
      </c>
      <c r="R54" s="97">
        <v>1.25</v>
      </c>
      <c r="S54" s="81">
        <v>0</v>
      </c>
      <c r="T54" s="81">
        <v>0</v>
      </c>
      <c r="U54" s="85">
        <v>5.0000000000000001E-3</v>
      </c>
      <c r="V54" s="91">
        <f t="shared" si="5"/>
        <v>-3.6299999999999999E-2</v>
      </c>
      <c r="W54" s="100">
        <f t="shared" si="4"/>
        <v>-3.63</v>
      </c>
      <c r="X54" s="90">
        <v>4.13</v>
      </c>
      <c r="Y54" s="192">
        <v>1</v>
      </c>
      <c r="Z54" s="192">
        <v>0</v>
      </c>
      <c r="AA54" s="192">
        <v>0</v>
      </c>
      <c r="AB54" s="195" t="s">
        <v>1056</v>
      </c>
      <c r="AC54"/>
    </row>
    <row r="55" spans="1:29" ht="19.95" customHeight="1" x14ac:dyDescent="0.35">
      <c r="A55" s="110" t="s">
        <v>223</v>
      </c>
      <c r="B55" s="74">
        <v>0</v>
      </c>
      <c r="C55" s="78">
        <v>0.7</v>
      </c>
      <c r="D55" s="81">
        <v>0.2</v>
      </c>
      <c r="E55" s="81">
        <v>0.2</v>
      </c>
      <c r="F55" s="81">
        <v>0</v>
      </c>
      <c r="G55" s="85">
        <v>0.01</v>
      </c>
      <c r="H55" s="85">
        <v>0.01</v>
      </c>
      <c r="I55" s="85">
        <v>2E-3</v>
      </c>
      <c r="J55" s="81">
        <v>0</v>
      </c>
      <c r="K55" s="88">
        <v>0</v>
      </c>
      <c r="L55" s="88">
        <v>0</v>
      </c>
      <c r="M55" s="88">
        <v>0</v>
      </c>
      <c r="N55" s="88">
        <v>0</v>
      </c>
      <c r="O55" s="88">
        <v>0</v>
      </c>
      <c r="P55" s="88">
        <v>0</v>
      </c>
      <c r="Q55" s="88">
        <v>0</v>
      </c>
      <c r="R55" s="97">
        <v>1.25</v>
      </c>
      <c r="S55" s="81">
        <v>0</v>
      </c>
      <c r="T55" s="81">
        <v>0</v>
      </c>
      <c r="U55" s="85">
        <v>5.0000000000000001E-3</v>
      </c>
      <c r="V55" s="91">
        <f t="shared" si="5"/>
        <v>-3.9299999999999995E-2</v>
      </c>
      <c r="W55" s="100">
        <f t="shared" si="4"/>
        <v>-3.13</v>
      </c>
      <c r="X55" s="90">
        <v>4.13</v>
      </c>
      <c r="Y55" s="192">
        <v>0</v>
      </c>
      <c r="Z55" s="192">
        <v>0</v>
      </c>
      <c r="AA55" s="192">
        <v>0</v>
      </c>
      <c r="AB55" s="195" t="s">
        <v>1056</v>
      </c>
      <c r="AC55"/>
    </row>
    <row r="56" spans="1:29" ht="19.95" customHeight="1" x14ac:dyDescent="0.35">
      <c r="A56" s="110" t="s">
        <v>806</v>
      </c>
      <c r="B56" s="74">
        <v>295</v>
      </c>
      <c r="C56" s="78" t="s">
        <v>843</v>
      </c>
      <c r="D56" s="81">
        <v>1</v>
      </c>
      <c r="E56" s="81">
        <v>1</v>
      </c>
      <c r="F56" s="81">
        <v>2.5</v>
      </c>
      <c r="G56" s="85">
        <v>0.01</v>
      </c>
      <c r="H56" s="85">
        <v>0.01</v>
      </c>
      <c r="I56" s="85">
        <v>0.01</v>
      </c>
      <c r="J56" s="81">
        <v>0</v>
      </c>
      <c r="K56" s="88">
        <v>0</v>
      </c>
      <c r="L56" s="88">
        <v>0</v>
      </c>
      <c r="M56" s="88">
        <v>0</v>
      </c>
      <c r="N56" s="88">
        <v>0</v>
      </c>
      <c r="O56" s="88">
        <v>0</v>
      </c>
      <c r="P56" s="88">
        <v>0</v>
      </c>
      <c r="Q56" s="88">
        <v>0</v>
      </c>
      <c r="R56" s="97">
        <v>1</v>
      </c>
      <c r="S56" s="81">
        <v>0</v>
      </c>
      <c r="T56" s="81">
        <v>0</v>
      </c>
      <c r="U56" s="85">
        <v>0.01</v>
      </c>
      <c r="V56" s="91">
        <f t="shared" si="5"/>
        <v>-3.1300000000000001E-2</v>
      </c>
      <c r="W56" s="100">
        <f t="shared" si="4"/>
        <v>-3.13</v>
      </c>
      <c r="X56" s="90">
        <v>4.13</v>
      </c>
      <c r="Y56" s="192">
        <v>0</v>
      </c>
      <c r="Z56" s="192">
        <v>0</v>
      </c>
      <c r="AA56" s="192">
        <v>0</v>
      </c>
      <c r="AB56" s="195" t="s">
        <v>1056</v>
      </c>
      <c r="AC56"/>
    </row>
    <row r="57" spans="1:29" ht="19.95" customHeight="1" x14ac:dyDescent="0.35">
      <c r="A57" s="110" t="s">
        <v>807</v>
      </c>
      <c r="B57" s="74">
        <v>0</v>
      </c>
      <c r="C57" s="78" t="s">
        <v>843</v>
      </c>
      <c r="D57" s="81">
        <v>0.2</v>
      </c>
      <c r="E57" s="81">
        <v>0.2</v>
      </c>
      <c r="F57" s="81">
        <v>0</v>
      </c>
      <c r="G57" s="85">
        <v>2E-3</v>
      </c>
      <c r="H57" s="85">
        <v>2E-3</v>
      </c>
      <c r="I57" s="85">
        <v>2E-3</v>
      </c>
      <c r="J57" s="81">
        <v>0</v>
      </c>
      <c r="K57" s="88">
        <v>0</v>
      </c>
      <c r="L57" s="88">
        <v>0</v>
      </c>
      <c r="M57" s="88">
        <v>0</v>
      </c>
      <c r="N57" s="88">
        <v>0</v>
      </c>
      <c r="O57" s="88">
        <v>0</v>
      </c>
      <c r="P57" s="88">
        <v>0</v>
      </c>
      <c r="Q57" s="88">
        <v>0</v>
      </c>
      <c r="R57" s="97">
        <v>0.2</v>
      </c>
      <c r="S57" s="81">
        <v>0</v>
      </c>
      <c r="T57" s="81">
        <v>0</v>
      </c>
      <c r="U57" s="85">
        <v>2E-3</v>
      </c>
      <c r="V57" s="91">
        <f t="shared" si="5"/>
        <v>-3.9299999999999995E-2</v>
      </c>
      <c r="W57" s="100">
        <f t="shared" ref="W57:W88" si="6">H57*100-X57</f>
        <v>-3.9299999999999997</v>
      </c>
      <c r="X57" s="90">
        <v>4.13</v>
      </c>
      <c r="Y57" s="192">
        <v>0</v>
      </c>
      <c r="Z57" s="192">
        <v>0</v>
      </c>
      <c r="AA57" s="192">
        <v>0</v>
      </c>
      <c r="AB57" s="195" t="s">
        <v>1056</v>
      </c>
      <c r="AC57"/>
    </row>
    <row r="58" spans="1:29" ht="19.95" customHeight="1" x14ac:dyDescent="0.35">
      <c r="A58" s="110" t="s">
        <v>808</v>
      </c>
      <c r="B58" s="74">
        <v>590</v>
      </c>
      <c r="C58" s="78">
        <v>0.35</v>
      </c>
      <c r="D58" s="81">
        <v>0.33</v>
      </c>
      <c r="E58" s="81">
        <v>0.33</v>
      </c>
      <c r="F58" s="81">
        <v>0</v>
      </c>
      <c r="G58" s="85">
        <v>3.3E-3</v>
      </c>
      <c r="H58" s="85">
        <v>3.3E-3</v>
      </c>
      <c r="I58" s="85">
        <v>3.3E-3</v>
      </c>
      <c r="J58" s="81">
        <v>0</v>
      </c>
      <c r="K58" s="88">
        <v>0</v>
      </c>
      <c r="L58" s="88">
        <v>0</v>
      </c>
      <c r="M58" s="88">
        <v>0</v>
      </c>
      <c r="N58" s="88">
        <v>0</v>
      </c>
      <c r="O58" s="88">
        <v>0</v>
      </c>
      <c r="P58" s="88">
        <v>0</v>
      </c>
      <c r="Q58" s="88">
        <v>4</v>
      </c>
      <c r="R58" s="97">
        <v>0.33</v>
      </c>
      <c r="S58" s="81">
        <v>0</v>
      </c>
      <c r="T58" s="81">
        <v>0</v>
      </c>
      <c r="U58" s="85">
        <v>3.3E-3</v>
      </c>
      <c r="V58" s="91">
        <f t="shared" si="5"/>
        <v>-3.7999999999999999E-2</v>
      </c>
      <c r="W58" s="100">
        <f t="shared" si="6"/>
        <v>-3.8</v>
      </c>
      <c r="X58" s="90">
        <v>4.13</v>
      </c>
      <c r="Y58" s="192">
        <v>1</v>
      </c>
      <c r="Z58" s="192">
        <v>0</v>
      </c>
      <c r="AA58" s="192">
        <v>0</v>
      </c>
      <c r="AB58" s="195" t="s">
        <v>1056</v>
      </c>
      <c r="AC58"/>
    </row>
    <row r="59" spans="1:29" ht="19.95" customHeight="1" x14ac:dyDescent="0.35">
      <c r="A59" s="111" t="s">
        <v>250</v>
      </c>
      <c r="B59" s="74">
        <v>5900</v>
      </c>
      <c r="C59" s="78">
        <v>8</v>
      </c>
      <c r="D59" s="159">
        <v>4</v>
      </c>
      <c r="E59" s="81">
        <v>20</v>
      </c>
      <c r="F59" s="81">
        <v>0</v>
      </c>
      <c r="G59" s="85">
        <v>0.04</v>
      </c>
      <c r="H59" s="85">
        <v>0.04</v>
      </c>
      <c r="I59" s="85">
        <v>0.04</v>
      </c>
      <c r="J59" s="81">
        <v>0</v>
      </c>
      <c r="K59" s="88">
        <v>0</v>
      </c>
      <c r="L59" s="88">
        <v>0</v>
      </c>
      <c r="M59" s="88">
        <v>0</v>
      </c>
      <c r="N59" s="88">
        <v>0</v>
      </c>
      <c r="O59" s="88">
        <v>0</v>
      </c>
      <c r="P59" s="88">
        <v>0</v>
      </c>
      <c r="Q59" s="88">
        <v>0</v>
      </c>
      <c r="R59" s="97">
        <v>10</v>
      </c>
      <c r="S59" s="81">
        <v>4</v>
      </c>
      <c r="T59" s="81">
        <v>4</v>
      </c>
      <c r="U59" s="85">
        <v>0</v>
      </c>
      <c r="V59" s="91">
        <f t="shared" si="5"/>
        <v>-1.2999999999999989E-3</v>
      </c>
      <c r="W59" s="100">
        <f t="shared" si="6"/>
        <v>-0.12999999999999989</v>
      </c>
      <c r="X59" s="90">
        <v>4.13</v>
      </c>
      <c r="Y59" s="192">
        <v>2</v>
      </c>
      <c r="Z59" s="192">
        <v>4</v>
      </c>
      <c r="AA59" s="192">
        <v>0</v>
      </c>
      <c r="AB59" s="191" t="s">
        <v>1057</v>
      </c>
      <c r="AC59"/>
    </row>
    <row r="60" spans="1:29" ht="19.95" customHeight="1" x14ac:dyDescent="0.35">
      <c r="A60" s="111" t="s">
        <v>809</v>
      </c>
      <c r="B60" s="74">
        <v>23600</v>
      </c>
      <c r="C60" s="78" t="s">
        <v>843</v>
      </c>
      <c r="D60" s="81">
        <v>1</v>
      </c>
      <c r="E60" s="81">
        <v>3</v>
      </c>
      <c r="F60" s="81">
        <v>0</v>
      </c>
      <c r="G60" s="85">
        <v>0.03</v>
      </c>
      <c r="H60" s="85">
        <v>0.03</v>
      </c>
      <c r="I60" s="85">
        <v>0.03</v>
      </c>
      <c r="J60" s="81">
        <v>3</v>
      </c>
      <c r="K60" s="88">
        <v>3</v>
      </c>
      <c r="L60" s="88">
        <v>3</v>
      </c>
      <c r="M60" s="88">
        <v>3</v>
      </c>
      <c r="N60" s="88">
        <v>3</v>
      </c>
      <c r="O60" s="88">
        <v>3</v>
      </c>
      <c r="P60" s="88">
        <v>3</v>
      </c>
      <c r="Q60" s="88">
        <v>0</v>
      </c>
      <c r="R60" s="97">
        <v>30</v>
      </c>
      <c r="S60" s="81">
        <v>3</v>
      </c>
      <c r="T60" s="81">
        <v>3</v>
      </c>
      <c r="U60" s="85">
        <v>0</v>
      </c>
      <c r="V60" s="91">
        <f t="shared" si="5"/>
        <v>1.83E-2</v>
      </c>
      <c r="W60" s="100">
        <f t="shared" si="6"/>
        <v>1.83</v>
      </c>
      <c r="X60" s="90">
        <v>1.17</v>
      </c>
      <c r="Y60" s="192" t="s">
        <v>1139</v>
      </c>
      <c r="Z60" s="192" t="s">
        <v>1139</v>
      </c>
      <c r="AA60" s="192">
        <v>0</v>
      </c>
      <c r="AB60" s="191" t="s">
        <v>1057</v>
      </c>
      <c r="AC60"/>
    </row>
    <row r="61" spans="1:29" ht="19.95" customHeight="1" x14ac:dyDescent="0.35">
      <c r="A61" s="111" t="s">
        <v>253</v>
      </c>
      <c r="B61" s="74">
        <v>1180</v>
      </c>
      <c r="C61" s="78">
        <v>2</v>
      </c>
      <c r="D61" s="81">
        <v>1.5</v>
      </c>
      <c r="E61" s="81">
        <v>1.5</v>
      </c>
      <c r="F61" s="81">
        <v>0</v>
      </c>
      <c r="G61" s="85">
        <v>1.4999999999999999E-2</v>
      </c>
      <c r="H61" s="85">
        <v>1.4999999999999999E-2</v>
      </c>
      <c r="I61" s="85">
        <v>1.4999999999999999E-2</v>
      </c>
      <c r="J61" s="81">
        <v>1.5</v>
      </c>
      <c r="K61" s="88">
        <v>0</v>
      </c>
      <c r="L61" s="88">
        <v>0</v>
      </c>
      <c r="M61" s="88">
        <v>0</v>
      </c>
      <c r="N61" s="88">
        <v>0</v>
      </c>
      <c r="O61" s="88">
        <v>0</v>
      </c>
      <c r="P61" s="88">
        <v>0</v>
      </c>
      <c r="Q61" s="88">
        <v>0</v>
      </c>
      <c r="R61" s="97">
        <v>10</v>
      </c>
      <c r="S61" s="81">
        <v>10</v>
      </c>
      <c r="T61" s="81">
        <v>10</v>
      </c>
      <c r="U61" s="85">
        <v>0</v>
      </c>
      <c r="V61" s="91">
        <f t="shared" si="5"/>
        <v>-2.63E-2</v>
      </c>
      <c r="W61" s="100">
        <f t="shared" si="6"/>
        <v>-2.63</v>
      </c>
      <c r="X61" s="90">
        <v>4.13</v>
      </c>
      <c r="Y61" s="192">
        <v>1</v>
      </c>
      <c r="Z61" s="192">
        <v>0</v>
      </c>
      <c r="AA61" s="192">
        <v>0</v>
      </c>
      <c r="AB61" s="191" t="s">
        <v>1057</v>
      </c>
      <c r="AC61"/>
    </row>
    <row r="62" spans="1:29" ht="19.95" customHeight="1" x14ac:dyDescent="0.35">
      <c r="A62" s="111" t="s">
        <v>252</v>
      </c>
      <c r="B62" s="74">
        <v>0</v>
      </c>
      <c r="C62" s="78" t="s">
        <v>843</v>
      </c>
      <c r="D62" s="81">
        <v>0.47</v>
      </c>
      <c r="E62" s="81">
        <v>0.67</v>
      </c>
      <c r="F62" s="81">
        <v>0</v>
      </c>
      <c r="G62" s="85">
        <v>4.7000000000000002E-3</v>
      </c>
      <c r="H62" s="85">
        <v>4.7000000000000002E-3</v>
      </c>
      <c r="I62" s="85">
        <v>4.7000000000000002E-3</v>
      </c>
      <c r="J62" s="81">
        <v>0.67</v>
      </c>
      <c r="K62" s="88">
        <v>0.67</v>
      </c>
      <c r="L62" s="88">
        <v>0.67</v>
      </c>
      <c r="M62" s="88">
        <v>0.67</v>
      </c>
      <c r="N62" s="88">
        <v>0.67</v>
      </c>
      <c r="O62" s="88">
        <v>0.67</v>
      </c>
      <c r="P62" s="88">
        <v>0.67</v>
      </c>
      <c r="Q62" s="88">
        <v>0</v>
      </c>
      <c r="R62" s="97">
        <v>0</v>
      </c>
      <c r="S62" s="81">
        <v>0.67</v>
      </c>
      <c r="T62" s="81">
        <v>0.67</v>
      </c>
      <c r="U62" s="85">
        <v>0</v>
      </c>
      <c r="V62" s="91">
        <f t="shared" si="5"/>
        <v>-3.6599999999999994E-2</v>
      </c>
      <c r="W62" s="100">
        <f t="shared" si="6"/>
        <v>-3.6599999999999997</v>
      </c>
      <c r="X62" s="90">
        <v>4.13</v>
      </c>
      <c r="Y62" s="192">
        <v>0</v>
      </c>
      <c r="Z62" s="192">
        <v>0</v>
      </c>
      <c r="AA62" s="192">
        <v>0</v>
      </c>
      <c r="AB62" s="191" t="s">
        <v>1057</v>
      </c>
      <c r="AC62"/>
    </row>
    <row r="63" spans="1:29" ht="19.95" customHeight="1" x14ac:dyDescent="0.35">
      <c r="A63" s="112" t="s">
        <v>346</v>
      </c>
      <c r="B63" s="74">
        <v>5900</v>
      </c>
      <c r="C63" s="78" t="s">
        <v>843</v>
      </c>
      <c r="D63" s="159">
        <v>3.33</v>
      </c>
      <c r="E63" s="81">
        <v>3.3</v>
      </c>
      <c r="F63" s="81">
        <v>0</v>
      </c>
      <c r="G63" s="85">
        <v>3.3000000000000002E-2</v>
      </c>
      <c r="H63" s="85">
        <v>3.3000000000000002E-2</v>
      </c>
      <c r="I63" s="85">
        <v>3.3000000000000002E-2</v>
      </c>
      <c r="J63" s="81">
        <v>3.33</v>
      </c>
      <c r="K63" s="88">
        <v>2</v>
      </c>
      <c r="L63" s="88">
        <v>2</v>
      </c>
      <c r="M63" s="88">
        <v>2</v>
      </c>
      <c r="N63" s="88">
        <v>2</v>
      </c>
      <c r="O63" s="88">
        <v>2</v>
      </c>
      <c r="P63" s="88">
        <v>2</v>
      </c>
      <c r="Q63" s="88">
        <v>0</v>
      </c>
      <c r="R63" s="97">
        <v>3.33</v>
      </c>
      <c r="S63" s="81">
        <v>3.33</v>
      </c>
      <c r="T63" s="81">
        <v>3.33</v>
      </c>
      <c r="U63" s="85">
        <v>0</v>
      </c>
      <c r="V63" s="91">
        <f t="shared" si="5"/>
        <v>9.4000000000000038E-3</v>
      </c>
      <c r="W63" s="100">
        <f t="shared" si="6"/>
        <v>0.94000000000000039</v>
      </c>
      <c r="X63" s="90">
        <v>2.36</v>
      </c>
      <c r="Y63" s="192">
        <v>4</v>
      </c>
      <c r="Z63" s="192">
        <v>16</v>
      </c>
      <c r="AA63" s="192">
        <v>0</v>
      </c>
      <c r="AB63" s="195" t="s">
        <v>1056</v>
      </c>
      <c r="AC63"/>
    </row>
    <row r="64" spans="1:29" ht="19.95" customHeight="1" x14ac:dyDescent="0.35">
      <c r="A64" s="112" t="s">
        <v>347</v>
      </c>
      <c r="B64" s="74">
        <v>413</v>
      </c>
      <c r="C64" s="78">
        <v>0.5</v>
      </c>
      <c r="D64" s="81">
        <v>0.5</v>
      </c>
      <c r="E64" s="81">
        <v>25</v>
      </c>
      <c r="F64" s="81">
        <v>0</v>
      </c>
      <c r="G64" s="85">
        <v>5.0000000000000001E-3</v>
      </c>
      <c r="H64" s="85">
        <v>5.0000000000000001E-3</v>
      </c>
      <c r="I64" s="85">
        <v>5.0000000000000001E-3</v>
      </c>
      <c r="J64" s="81">
        <v>0.5</v>
      </c>
      <c r="K64" s="88">
        <v>0.5</v>
      </c>
      <c r="L64" s="88">
        <v>0.5</v>
      </c>
      <c r="M64" s="88">
        <v>0.5</v>
      </c>
      <c r="N64" s="88">
        <v>0.5</v>
      </c>
      <c r="O64" s="88">
        <v>0.5</v>
      </c>
      <c r="P64" s="88">
        <v>0.5</v>
      </c>
      <c r="Q64" s="88">
        <v>0</v>
      </c>
      <c r="R64" s="97">
        <v>0.5</v>
      </c>
      <c r="S64" s="81">
        <v>0.5</v>
      </c>
      <c r="T64" s="81">
        <v>0.5</v>
      </c>
      <c r="U64" s="85">
        <v>0</v>
      </c>
      <c r="V64" s="91">
        <f t="shared" si="5"/>
        <v>-3.6299999999999999E-2</v>
      </c>
      <c r="W64" s="100">
        <f t="shared" si="6"/>
        <v>-3.63</v>
      </c>
      <c r="X64" s="90">
        <v>4.13</v>
      </c>
      <c r="Y64" s="192">
        <v>2</v>
      </c>
      <c r="Z64" s="192">
        <v>0</v>
      </c>
      <c r="AA64" s="192">
        <v>0</v>
      </c>
      <c r="AB64" s="191" t="s">
        <v>1057</v>
      </c>
      <c r="AC64"/>
    </row>
    <row r="65" spans="1:29" ht="19.95" customHeight="1" x14ac:dyDescent="0.35">
      <c r="A65" s="112" t="s">
        <v>810</v>
      </c>
      <c r="B65" s="74">
        <v>590</v>
      </c>
      <c r="C65" s="78">
        <v>1.2</v>
      </c>
      <c r="D65" s="81">
        <v>1</v>
      </c>
      <c r="E65" s="81">
        <v>2</v>
      </c>
      <c r="F65" s="81">
        <v>0</v>
      </c>
      <c r="G65" s="85">
        <v>0.02</v>
      </c>
      <c r="H65" s="85">
        <v>0.02</v>
      </c>
      <c r="I65" s="85">
        <v>0.01</v>
      </c>
      <c r="J65" s="81">
        <v>2</v>
      </c>
      <c r="K65" s="88">
        <v>2</v>
      </c>
      <c r="L65" s="88">
        <v>2</v>
      </c>
      <c r="M65" s="88">
        <v>2</v>
      </c>
      <c r="N65" s="88">
        <v>2</v>
      </c>
      <c r="O65" s="88">
        <v>2</v>
      </c>
      <c r="P65" s="88">
        <v>2</v>
      </c>
      <c r="Q65" s="88">
        <v>0</v>
      </c>
      <c r="R65" s="97">
        <v>2</v>
      </c>
      <c r="S65" s="81">
        <v>2</v>
      </c>
      <c r="T65" s="81">
        <v>2</v>
      </c>
      <c r="U65" s="85">
        <v>0</v>
      </c>
      <c r="V65" s="91">
        <f t="shared" si="5"/>
        <v>-3.1300000000000001E-2</v>
      </c>
      <c r="W65" s="100">
        <f t="shared" si="6"/>
        <v>-2.13</v>
      </c>
      <c r="X65" s="90">
        <v>4.13</v>
      </c>
      <c r="Y65" s="192">
        <v>0</v>
      </c>
      <c r="Z65" s="192">
        <v>0</v>
      </c>
      <c r="AA65" s="192">
        <v>0</v>
      </c>
      <c r="AB65" s="191" t="s">
        <v>1057</v>
      </c>
      <c r="AC65"/>
    </row>
    <row r="66" spans="1:29" ht="19.95" customHeight="1" x14ac:dyDescent="0.35">
      <c r="A66" s="112" t="s">
        <v>811</v>
      </c>
      <c r="B66" s="74">
        <v>1180</v>
      </c>
      <c r="C66" s="78">
        <v>1.5</v>
      </c>
      <c r="D66" s="81">
        <v>1</v>
      </c>
      <c r="E66" s="81">
        <v>2</v>
      </c>
      <c r="F66" s="81">
        <v>0</v>
      </c>
      <c r="G66" s="85">
        <v>0.01</v>
      </c>
      <c r="H66" s="85">
        <v>0.01</v>
      </c>
      <c r="I66" s="85">
        <v>0.01</v>
      </c>
      <c r="J66" s="81">
        <v>2</v>
      </c>
      <c r="K66" s="88">
        <v>1</v>
      </c>
      <c r="L66" s="88">
        <v>0</v>
      </c>
      <c r="M66" s="88">
        <v>0</v>
      </c>
      <c r="N66" s="88">
        <v>0</v>
      </c>
      <c r="O66" s="88">
        <v>0.25</v>
      </c>
      <c r="P66" s="88">
        <v>0</v>
      </c>
      <c r="Q66" s="88">
        <v>0</v>
      </c>
      <c r="R66" s="97">
        <v>1</v>
      </c>
      <c r="S66" s="81">
        <v>2</v>
      </c>
      <c r="T66" s="81">
        <v>2</v>
      </c>
      <c r="U66" s="85">
        <v>0</v>
      </c>
      <c r="V66" s="91">
        <f t="shared" si="5"/>
        <v>-3.1300000000000001E-2</v>
      </c>
      <c r="W66" s="100">
        <f t="shared" si="6"/>
        <v>-3.13</v>
      </c>
      <c r="X66" s="90">
        <v>4.13</v>
      </c>
      <c r="Y66" s="192">
        <v>1</v>
      </c>
      <c r="Z66" s="192">
        <v>0</v>
      </c>
      <c r="AA66" s="192">
        <v>0</v>
      </c>
      <c r="AB66" s="195" t="s">
        <v>1056</v>
      </c>
      <c r="AC66"/>
    </row>
    <row r="67" spans="1:29" ht="19.95" customHeight="1" x14ac:dyDescent="0.35">
      <c r="A67" s="112" t="s">
        <v>812</v>
      </c>
      <c r="B67" s="74">
        <v>0</v>
      </c>
      <c r="C67" s="78" t="s">
        <v>843</v>
      </c>
      <c r="D67" s="81">
        <v>0.25</v>
      </c>
      <c r="E67" s="81">
        <v>0.25</v>
      </c>
      <c r="F67" s="81">
        <v>0</v>
      </c>
      <c r="G67" s="85">
        <v>2.5000000000000001E-3</v>
      </c>
      <c r="H67" s="85">
        <v>2.5000000000000001E-3</v>
      </c>
      <c r="I67" s="85">
        <v>2.5000000000000001E-3</v>
      </c>
      <c r="J67" s="81">
        <v>0.25</v>
      </c>
      <c r="K67" s="88">
        <v>0.25</v>
      </c>
      <c r="L67" s="88">
        <v>0.25</v>
      </c>
      <c r="M67" s="88">
        <v>0.25</v>
      </c>
      <c r="N67" s="88">
        <v>0.25</v>
      </c>
      <c r="O67" s="88">
        <v>0.25</v>
      </c>
      <c r="P67" s="88">
        <v>0.25</v>
      </c>
      <c r="Q67" s="88">
        <v>0</v>
      </c>
      <c r="R67" s="97">
        <v>1.25</v>
      </c>
      <c r="S67" s="81">
        <v>0.25</v>
      </c>
      <c r="T67" s="81">
        <v>0.25</v>
      </c>
      <c r="U67" s="85">
        <v>0</v>
      </c>
      <c r="V67" s="91">
        <f t="shared" si="5"/>
        <v>-3.8800000000000001E-2</v>
      </c>
      <c r="W67" s="100">
        <f t="shared" si="6"/>
        <v>-3.88</v>
      </c>
      <c r="X67" s="90">
        <v>4.13</v>
      </c>
      <c r="Y67" s="192">
        <v>0</v>
      </c>
      <c r="Z67" s="192">
        <v>0</v>
      </c>
      <c r="AA67" s="192">
        <v>0</v>
      </c>
      <c r="AB67" s="191" t="s">
        <v>1057</v>
      </c>
      <c r="AC67"/>
    </row>
    <row r="68" spans="1:29" ht="19.95" customHeight="1" x14ac:dyDescent="0.35">
      <c r="A68" s="113" t="s">
        <v>813</v>
      </c>
      <c r="B68" s="74">
        <v>5900</v>
      </c>
      <c r="C68" s="78" t="s">
        <v>843</v>
      </c>
      <c r="D68" s="159">
        <v>2</v>
      </c>
      <c r="E68" s="81">
        <v>12</v>
      </c>
      <c r="F68" s="81">
        <v>0</v>
      </c>
      <c r="G68" s="85">
        <v>0.123</v>
      </c>
      <c r="H68" s="85">
        <v>0.1</v>
      </c>
      <c r="I68" s="85">
        <v>0.1</v>
      </c>
      <c r="J68" s="81">
        <v>0</v>
      </c>
      <c r="K68" s="88">
        <v>12</v>
      </c>
      <c r="L68" s="88">
        <v>12</v>
      </c>
      <c r="M68" s="88">
        <v>12</v>
      </c>
      <c r="N68" s="88">
        <v>12</v>
      </c>
      <c r="O68" s="88">
        <v>0</v>
      </c>
      <c r="P68" s="88">
        <v>12</v>
      </c>
      <c r="Q68" s="88">
        <v>0</v>
      </c>
      <c r="R68" s="97">
        <v>20</v>
      </c>
      <c r="S68" s="81">
        <v>10</v>
      </c>
      <c r="T68" s="81">
        <v>10</v>
      </c>
      <c r="U68" s="85">
        <v>0</v>
      </c>
      <c r="V68" s="91">
        <f t="shared" si="5"/>
        <v>5.8700000000000002E-2</v>
      </c>
      <c r="W68" s="100">
        <f t="shared" si="6"/>
        <v>5.87</v>
      </c>
      <c r="X68" s="90">
        <v>4.13</v>
      </c>
      <c r="Y68" s="192">
        <v>2</v>
      </c>
      <c r="Z68" s="192">
        <v>0</v>
      </c>
      <c r="AA68" s="192">
        <v>0</v>
      </c>
      <c r="AB68" s="191" t="s">
        <v>1057</v>
      </c>
      <c r="AC68"/>
    </row>
    <row r="69" spans="1:29" ht="19.95" customHeight="1" x14ac:dyDescent="0.35">
      <c r="A69" s="113" t="s">
        <v>122</v>
      </c>
      <c r="B69" s="74">
        <v>5310</v>
      </c>
      <c r="C69" s="78" t="s">
        <v>843</v>
      </c>
      <c r="D69" s="81">
        <v>2</v>
      </c>
      <c r="E69" s="81">
        <v>18.670000000000002</v>
      </c>
      <c r="F69" s="81">
        <v>0</v>
      </c>
      <c r="G69" s="85">
        <v>0.1867</v>
      </c>
      <c r="H69" s="85">
        <v>0.1867</v>
      </c>
      <c r="I69" s="85">
        <v>0.1867</v>
      </c>
      <c r="J69" s="81">
        <v>18.670000000000002</v>
      </c>
      <c r="K69" s="81">
        <v>18</v>
      </c>
      <c r="L69" s="88">
        <v>18</v>
      </c>
      <c r="M69" s="88">
        <v>18</v>
      </c>
      <c r="N69" s="88">
        <v>18</v>
      </c>
      <c r="O69" s="88">
        <v>0</v>
      </c>
      <c r="P69" s="88">
        <v>18</v>
      </c>
      <c r="Q69" s="88">
        <v>18.670000000000002</v>
      </c>
      <c r="R69" s="97">
        <v>20</v>
      </c>
      <c r="S69" s="81">
        <v>18</v>
      </c>
      <c r="T69" s="81">
        <v>18</v>
      </c>
      <c r="U69" s="85">
        <v>0</v>
      </c>
      <c r="V69" s="91">
        <v>0.1454</v>
      </c>
      <c r="W69" s="100">
        <f t="shared" si="6"/>
        <v>14.540000000000003</v>
      </c>
      <c r="X69" s="90">
        <v>4.13</v>
      </c>
      <c r="Y69" s="192">
        <v>0</v>
      </c>
      <c r="Z69" s="192">
        <v>0</v>
      </c>
      <c r="AA69" s="192">
        <v>0</v>
      </c>
      <c r="AB69" s="191" t="s">
        <v>1057</v>
      </c>
      <c r="AC69"/>
    </row>
    <row r="70" spans="1:29" ht="19.95" customHeight="1" x14ac:dyDescent="0.35">
      <c r="A70" s="113" t="s">
        <v>124</v>
      </c>
      <c r="B70" s="74">
        <v>5310</v>
      </c>
      <c r="C70" s="78">
        <v>1.5</v>
      </c>
      <c r="D70" s="81">
        <v>2</v>
      </c>
      <c r="E70" s="81">
        <v>18.670000000000002</v>
      </c>
      <c r="F70" s="81">
        <v>0</v>
      </c>
      <c r="G70" s="85">
        <v>0.1867</v>
      </c>
      <c r="H70" s="85">
        <v>0.1867</v>
      </c>
      <c r="I70" s="85">
        <v>0.1867</v>
      </c>
      <c r="J70" s="81">
        <v>0</v>
      </c>
      <c r="K70" s="88">
        <v>18</v>
      </c>
      <c r="L70" s="88">
        <v>18</v>
      </c>
      <c r="M70" s="88">
        <v>18</v>
      </c>
      <c r="N70" s="88">
        <v>18</v>
      </c>
      <c r="O70" s="88">
        <v>0</v>
      </c>
      <c r="P70" s="88">
        <v>18</v>
      </c>
      <c r="Q70" s="88">
        <v>0</v>
      </c>
      <c r="R70" s="97">
        <v>20</v>
      </c>
      <c r="S70" s="81">
        <v>18</v>
      </c>
      <c r="T70" s="81">
        <v>18</v>
      </c>
      <c r="U70" s="85">
        <v>0</v>
      </c>
      <c r="V70" s="91">
        <f t="shared" ref="V70:V97" si="7">(I70*100-X70)/100</f>
        <v>0.14540000000000003</v>
      </c>
      <c r="W70" s="100">
        <f t="shared" si="6"/>
        <v>14.540000000000003</v>
      </c>
      <c r="X70" s="90">
        <v>4.13</v>
      </c>
      <c r="Y70" s="192">
        <v>0</v>
      </c>
      <c r="Z70" s="192">
        <v>0</v>
      </c>
      <c r="AA70" s="192">
        <v>0</v>
      </c>
      <c r="AB70" s="191" t="s">
        <v>1057</v>
      </c>
      <c r="AC70"/>
    </row>
    <row r="71" spans="1:29" ht="19.95" customHeight="1" x14ac:dyDescent="0.35">
      <c r="A71" s="114" t="s">
        <v>842</v>
      </c>
      <c r="B71" s="162">
        <v>0</v>
      </c>
      <c r="C71" s="78" t="s">
        <v>843</v>
      </c>
      <c r="D71" s="81">
        <v>0.7</v>
      </c>
      <c r="E71" s="81">
        <v>1</v>
      </c>
      <c r="F71" s="81">
        <v>0</v>
      </c>
      <c r="G71" s="85">
        <v>7.0000000000000001E-3</v>
      </c>
      <c r="H71" s="85">
        <v>7.0000000000000001E-3</v>
      </c>
      <c r="I71" s="85">
        <v>7.0000000000000001E-3</v>
      </c>
      <c r="J71" s="81">
        <v>0.7</v>
      </c>
      <c r="K71" s="88">
        <v>0.7</v>
      </c>
      <c r="L71" s="88">
        <v>0.7</v>
      </c>
      <c r="M71" s="88">
        <v>0.7</v>
      </c>
      <c r="N71" s="88">
        <v>0.7</v>
      </c>
      <c r="O71" s="88">
        <v>0.7</v>
      </c>
      <c r="P71" s="88">
        <v>0.7</v>
      </c>
      <c r="Q71" s="88">
        <v>0</v>
      </c>
      <c r="R71" s="97">
        <v>0</v>
      </c>
      <c r="S71" s="81">
        <v>0.7</v>
      </c>
      <c r="T71" s="81">
        <v>0.7</v>
      </c>
      <c r="U71" s="85">
        <v>7.0000000000000001E-3</v>
      </c>
      <c r="V71" s="91">
        <f t="shared" si="7"/>
        <v>-3.4299999999999997E-2</v>
      </c>
      <c r="W71" s="100">
        <f t="shared" si="6"/>
        <v>-3.4299999999999997</v>
      </c>
      <c r="X71" s="90">
        <v>4.13</v>
      </c>
      <c r="Y71" s="192">
        <v>0</v>
      </c>
      <c r="Z71" s="192">
        <v>0</v>
      </c>
      <c r="AA71" s="192">
        <v>0</v>
      </c>
      <c r="AB71" s="191" t="s">
        <v>1057</v>
      </c>
      <c r="AC71"/>
    </row>
    <row r="72" spans="1:29" ht="19.95" customHeight="1" x14ac:dyDescent="0.35">
      <c r="A72" s="114" t="s">
        <v>814</v>
      </c>
      <c r="B72" s="74">
        <v>2360</v>
      </c>
      <c r="C72" s="78" t="s">
        <v>843</v>
      </c>
      <c r="D72" s="81">
        <v>0.8</v>
      </c>
      <c r="E72" s="81">
        <v>0.8</v>
      </c>
      <c r="F72" s="81">
        <v>0</v>
      </c>
      <c r="G72" s="85">
        <v>0.02</v>
      </c>
      <c r="H72" s="85">
        <v>0.02</v>
      </c>
      <c r="I72" s="85">
        <v>0.02</v>
      </c>
      <c r="J72" s="81">
        <v>0.8</v>
      </c>
      <c r="K72" s="88">
        <v>0.8</v>
      </c>
      <c r="L72" s="88">
        <v>0.8</v>
      </c>
      <c r="M72" s="88">
        <v>0.8</v>
      </c>
      <c r="N72" s="88">
        <v>0.8</v>
      </c>
      <c r="O72" s="88">
        <v>0.8</v>
      </c>
      <c r="P72" s="88">
        <v>0.8</v>
      </c>
      <c r="Q72" s="88">
        <v>0</v>
      </c>
      <c r="R72" s="97">
        <v>50</v>
      </c>
      <c r="S72" s="81">
        <v>0.8</v>
      </c>
      <c r="T72" s="81">
        <v>0.8</v>
      </c>
      <c r="U72" s="85">
        <v>0</v>
      </c>
      <c r="V72" s="91">
        <f t="shared" si="7"/>
        <v>-2.1299999999999999E-2</v>
      </c>
      <c r="W72" s="100">
        <f t="shared" si="6"/>
        <v>-2.13</v>
      </c>
      <c r="X72" s="90">
        <v>4.13</v>
      </c>
      <c r="Y72" s="192">
        <v>2</v>
      </c>
      <c r="Z72" s="192">
        <v>8</v>
      </c>
      <c r="AA72" s="192">
        <v>0</v>
      </c>
      <c r="AB72" s="191" t="s">
        <v>1057</v>
      </c>
      <c r="AC72"/>
    </row>
    <row r="73" spans="1:29" ht="19.95" customHeight="1" x14ac:dyDescent="0.35">
      <c r="A73" s="114" t="s">
        <v>815</v>
      </c>
      <c r="B73" s="74">
        <v>0</v>
      </c>
      <c r="C73" s="78" t="s">
        <v>843</v>
      </c>
      <c r="D73" s="81">
        <v>1</v>
      </c>
      <c r="E73" s="81">
        <v>1.5</v>
      </c>
      <c r="F73" s="81">
        <v>0</v>
      </c>
      <c r="G73" s="85">
        <v>2.5000000000000001E-2</v>
      </c>
      <c r="H73" s="85">
        <v>1.4999999999999999E-2</v>
      </c>
      <c r="I73" s="85">
        <v>1.4999999999999999E-2</v>
      </c>
      <c r="J73" s="81">
        <v>0.7</v>
      </c>
      <c r="K73" s="88">
        <v>0.7</v>
      </c>
      <c r="L73" s="88">
        <v>0.7</v>
      </c>
      <c r="M73" s="88">
        <v>0.7</v>
      </c>
      <c r="N73" s="88">
        <v>0.7</v>
      </c>
      <c r="O73" s="88">
        <v>0.7</v>
      </c>
      <c r="P73" s="88">
        <v>0.7</v>
      </c>
      <c r="Q73" s="88">
        <v>0</v>
      </c>
      <c r="R73" s="97">
        <v>1</v>
      </c>
      <c r="S73" s="81">
        <v>2.5</v>
      </c>
      <c r="T73" s="81">
        <v>2.5</v>
      </c>
      <c r="U73" s="85">
        <v>0</v>
      </c>
      <c r="V73" s="91">
        <f t="shared" si="7"/>
        <v>-2.63E-2</v>
      </c>
      <c r="W73" s="100">
        <f t="shared" si="6"/>
        <v>-2.63</v>
      </c>
      <c r="X73" s="90">
        <v>4.13</v>
      </c>
      <c r="Y73" s="192">
        <v>1</v>
      </c>
      <c r="Z73" s="192">
        <v>8</v>
      </c>
      <c r="AA73" s="192">
        <v>0</v>
      </c>
      <c r="AB73" s="191" t="s">
        <v>1057</v>
      </c>
      <c r="AC73"/>
    </row>
    <row r="74" spans="1:29" ht="19.95" customHeight="1" x14ac:dyDescent="0.35">
      <c r="A74" s="114" t="s">
        <v>816</v>
      </c>
      <c r="B74" s="74">
        <v>0</v>
      </c>
      <c r="C74" s="78" t="s">
        <v>843</v>
      </c>
      <c r="D74" s="81">
        <v>1.2</v>
      </c>
      <c r="E74" s="81">
        <v>1.2</v>
      </c>
      <c r="F74" s="81">
        <v>0</v>
      </c>
      <c r="G74" s="85">
        <v>1.2E-2</v>
      </c>
      <c r="H74" s="85">
        <v>1.2E-2</v>
      </c>
      <c r="I74" s="85">
        <v>1.2E-2</v>
      </c>
      <c r="J74" s="81">
        <v>0.4</v>
      </c>
      <c r="K74" s="88">
        <v>0.4</v>
      </c>
      <c r="L74" s="88">
        <v>0.4</v>
      </c>
      <c r="M74" s="88">
        <v>0.4</v>
      </c>
      <c r="N74" s="88">
        <v>0.4</v>
      </c>
      <c r="O74" s="88">
        <v>0.4</v>
      </c>
      <c r="P74" s="88">
        <v>0.4</v>
      </c>
      <c r="Q74" s="88">
        <v>0</v>
      </c>
      <c r="R74" s="97">
        <v>1.2</v>
      </c>
      <c r="S74" s="81">
        <v>1.2</v>
      </c>
      <c r="T74" s="81">
        <v>1.2</v>
      </c>
      <c r="U74" s="85">
        <v>0</v>
      </c>
      <c r="V74" s="91">
        <f t="shared" si="7"/>
        <v>-5.7000000000000002E-3</v>
      </c>
      <c r="W74" s="100">
        <f t="shared" si="6"/>
        <v>-0.57000000000000006</v>
      </c>
      <c r="X74" s="90">
        <v>1.77</v>
      </c>
      <c r="Y74" s="192">
        <v>2</v>
      </c>
      <c r="Z74" s="192">
        <v>2</v>
      </c>
      <c r="AA74" s="192">
        <v>0</v>
      </c>
      <c r="AB74" s="191" t="s">
        <v>1057</v>
      </c>
      <c r="AC74"/>
    </row>
    <row r="75" spans="1:29" ht="19.95" customHeight="1" x14ac:dyDescent="0.35">
      <c r="A75" s="115" t="s">
        <v>817</v>
      </c>
      <c r="B75" s="74">
        <v>5900</v>
      </c>
      <c r="C75" s="78">
        <v>10</v>
      </c>
      <c r="D75" s="81">
        <v>2.25</v>
      </c>
      <c r="E75" s="81">
        <v>4.5</v>
      </c>
      <c r="F75" s="81">
        <v>0</v>
      </c>
      <c r="G75" s="85">
        <v>4.4999999999999998E-2</v>
      </c>
      <c r="H75" s="85">
        <v>4.4999999999999998E-2</v>
      </c>
      <c r="I75" s="85">
        <v>2.2499999999999999E-2</v>
      </c>
      <c r="J75" s="81">
        <v>1.25</v>
      </c>
      <c r="K75" s="88">
        <v>1.25</v>
      </c>
      <c r="L75" s="88">
        <v>0</v>
      </c>
      <c r="M75" s="88">
        <v>0</v>
      </c>
      <c r="N75" s="88">
        <v>1.25</v>
      </c>
      <c r="O75" s="88">
        <v>1.25</v>
      </c>
      <c r="P75" s="88">
        <v>1.25</v>
      </c>
      <c r="Q75" s="88">
        <v>0</v>
      </c>
      <c r="R75" s="97">
        <v>4.5</v>
      </c>
      <c r="S75" s="81">
        <v>4.5</v>
      </c>
      <c r="T75" s="81">
        <v>4.5</v>
      </c>
      <c r="U75" s="85">
        <v>0</v>
      </c>
      <c r="V75" s="91">
        <f t="shared" si="7"/>
        <v>1.0700000000000001E-2</v>
      </c>
      <c r="W75" s="100">
        <f t="shared" si="6"/>
        <v>3.3200000000000003</v>
      </c>
      <c r="X75" s="90">
        <v>1.18</v>
      </c>
      <c r="Y75" s="192">
        <v>6</v>
      </c>
      <c r="Z75" s="192">
        <v>100</v>
      </c>
      <c r="AA75" s="192">
        <v>0</v>
      </c>
      <c r="AB75" s="195" t="s">
        <v>1056</v>
      </c>
      <c r="AC75"/>
    </row>
    <row r="76" spans="1:29" ht="19.95" customHeight="1" x14ac:dyDescent="0.35">
      <c r="A76" s="115" t="s">
        <v>818</v>
      </c>
      <c r="B76" s="74">
        <v>2360</v>
      </c>
      <c r="C76" s="78">
        <v>3</v>
      </c>
      <c r="D76" s="81">
        <v>1.5</v>
      </c>
      <c r="E76" s="81">
        <v>3</v>
      </c>
      <c r="F76" s="81">
        <v>0</v>
      </c>
      <c r="G76" s="85">
        <v>0.03</v>
      </c>
      <c r="H76" s="85">
        <v>0.03</v>
      </c>
      <c r="I76" s="85">
        <v>1.4999999999999999E-2</v>
      </c>
      <c r="J76" s="81">
        <v>0.75</v>
      </c>
      <c r="K76" s="88">
        <v>0.75</v>
      </c>
      <c r="L76" s="88">
        <v>0</v>
      </c>
      <c r="M76" s="88">
        <v>0</v>
      </c>
      <c r="N76" s="88">
        <v>0.75</v>
      </c>
      <c r="O76" s="88">
        <v>0.75</v>
      </c>
      <c r="P76" s="88">
        <v>0.75</v>
      </c>
      <c r="Q76" s="88">
        <v>0</v>
      </c>
      <c r="R76" s="97">
        <v>3</v>
      </c>
      <c r="S76" s="81">
        <v>3</v>
      </c>
      <c r="T76" s="81">
        <v>3</v>
      </c>
      <c r="U76" s="85">
        <v>0</v>
      </c>
      <c r="V76" s="91">
        <f t="shared" si="7"/>
        <v>-5.6000000000000008E-3</v>
      </c>
      <c r="W76" s="100">
        <f t="shared" si="6"/>
        <v>0.94</v>
      </c>
      <c r="X76" s="90">
        <v>2.06</v>
      </c>
      <c r="Y76" s="192">
        <v>3</v>
      </c>
      <c r="Z76" s="192">
        <v>6</v>
      </c>
      <c r="AA76" s="192">
        <v>0</v>
      </c>
      <c r="AB76" s="195" t="s">
        <v>1056</v>
      </c>
      <c r="AC76"/>
    </row>
    <row r="77" spans="1:29" ht="19.95" customHeight="1" x14ac:dyDescent="0.35">
      <c r="A77" s="115" t="s">
        <v>819</v>
      </c>
      <c r="B77" s="74">
        <v>1180</v>
      </c>
      <c r="C77" s="78">
        <v>2</v>
      </c>
      <c r="D77" s="81">
        <v>0.75</v>
      </c>
      <c r="E77" s="81">
        <v>1.5</v>
      </c>
      <c r="F77" s="81">
        <v>0</v>
      </c>
      <c r="G77" s="85">
        <v>1.4999999999999999E-2</v>
      </c>
      <c r="H77" s="85">
        <v>1.4999999999999999E-2</v>
      </c>
      <c r="I77" s="85">
        <v>7.4999999999999997E-3</v>
      </c>
      <c r="J77" s="81">
        <v>0.5</v>
      </c>
      <c r="K77" s="88">
        <v>0.5</v>
      </c>
      <c r="L77" s="88">
        <v>0</v>
      </c>
      <c r="M77" s="88">
        <v>0</v>
      </c>
      <c r="N77" s="88">
        <v>0.5</v>
      </c>
      <c r="O77" s="88">
        <v>0.5</v>
      </c>
      <c r="P77" s="88">
        <v>0.5</v>
      </c>
      <c r="Q77" s="88">
        <v>0</v>
      </c>
      <c r="R77" s="97">
        <v>1.5</v>
      </c>
      <c r="S77" s="81">
        <v>1.5</v>
      </c>
      <c r="T77" s="81">
        <v>1.5</v>
      </c>
      <c r="U77" s="85">
        <v>0</v>
      </c>
      <c r="V77" s="91">
        <f t="shared" si="7"/>
        <v>-2.4900000000000002E-2</v>
      </c>
      <c r="W77" s="100">
        <f t="shared" si="6"/>
        <v>-1.7400000000000002</v>
      </c>
      <c r="X77" s="90">
        <v>3.24</v>
      </c>
      <c r="Y77" s="192">
        <v>2</v>
      </c>
      <c r="Z77" s="192">
        <v>1</v>
      </c>
      <c r="AA77" s="192">
        <v>0</v>
      </c>
      <c r="AB77" s="195" t="s">
        <v>1056</v>
      </c>
      <c r="AC77"/>
    </row>
    <row r="78" spans="1:29" ht="19.95" customHeight="1" x14ac:dyDescent="0.35">
      <c r="A78" s="115" t="s">
        <v>820</v>
      </c>
      <c r="B78" s="74">
        <v>590</v>
      </c>
      <c r="C78" s="78">
        <v>0.5</v>
      </c>
      <c r="D78" s="81">
        <v>0.5</v>
      </c>
      <c r="E78" s="81">
        <v>1</v>
      </c>
      <c r="F78" s="81">
        <v>0</v>
      </c>
      <c r="G78" s="85">
        <v>0.01</v>
      </c>
      <c r="H78" s="85">
        <v>0.01</v>
      </c>
      <c r="I78" s="85">
        <v>5.0000000000000001E-3</v>
      </c>
      <c r="J78" s="81">
        <v>0.25</v>
      </c>
      <c r="K78" s="88">
        <v>0.25</v>
      </c>
      <c r="L78" s="88">
        <v>0</v>
      </c>
      <c r="M78" s="88">
        <v>0</v>
      </c>
      <c r="N78" s="88">
        <v>0.25</v>
      </c>
      <c r="O78" s="88">
        <v>0.25</v>
      </c>
      <c r="P78" s="88">
        <v>0.25</v>
      </c>
      <c r="Q78" s="88">
        <v>0</v>
      </c>
      <c r="R78" s="97">
        <v>0.75</v>
      </c>
      <c r="S78" s="81">
        <v>1</v>
      </c>
      <c r="T78" s="81">
        <v>1</v>
      </c>
      <c r="U78" s="85">
        <v>0</v>
      </c>
      <c r="V78" s="91">
        <f t="shared" si="7"/>
        <v>-2.7400000000000001E-2</v>
      </c>
      <c r="W78" s="100">
        <f t="shared" si="6"/>
        <v>-2.2400000000000002</v>
      </c>
      <c r="X78" s="90">
        <v>3.24</v>
      </c>
      <c r="Y78" s="192">
        <v>0</v>
      </c>
      <c r="Z78" s="192">
        <v>0</v>
      </c>
      <c r="AA78" s="192">
        <v>0</v>
      </c>
      <c r="AB78" s="195" t="s">
        <v>1056</v>
      </c>
      <c r="AC78"/>
    </row>
    <row r="79" spans="1:29" ht="19.95" customHeight="1" x14ac:dyDescent="0.35">
      <c r="A79" s="115" t="s">
        <v>565</v>
      </c>
      <c r="B79" s="74">
        <v>1180</v>
      </c>
      <c r="C79" s="78">
        <v>3</v>
      </c>
      <c r="D79" s="81">
        <v>1</v>
      </c>
      <c r="E79" s="81">
        <v>2</v>
      </c>
      <c r="F79" s="81">
        <v>0</v>
      </c>
      <c r="G79" s="85">
        <v>0.02</v>
      </c>
      <c r="H79" s="85">
        <v>0.02</v>
      </c>
      <c r="I79" s="85">
        <v>0.01</v>
      </c>
      <c r="J79" s="81">
        <v>0.5</v>
      </c>
      <c r="K79" s="88">
        <v>0.5</v>
      </c>
      <c r="L79" s="88">
        <v>0</v>
      </c>
      <c r="M79" s="88">
        <v>0</v>
      </c>
      <c r="N79" s="88">
        <v>0.5</v>
      </c>
      <c r="O79" s="88">
        <v>0.5</v>
      </c>
      <c r="P79" s="88">
        <v>0.5</v>
      </c>
      <c r="Q79" s="88">
        <v>0</v>
      </c>
      <c r="R79" s="97">
        <v>2</v>
      </c>
      <c r="S79" s="81">
        <v>2</v>
      </c>
      <c r="T79" s="81">
        <v>2</v>
      </c>
      <c r="U79" s="85">
        <v>0</v>
      </c>
      <c r="V79" s="91">
        <f t="shared" si="7"/>
        <v>-1.06E-2</v>
      </c>
      <c r="W79" s="100">
        <f t="shared" si="6"/>
        <v>-6.0000000000000053E-2</v>
      </c>
      <c r="X79" s="90">
        <v>2.06</v>
      </c>
      <c r="Y79" s="192">
        <v>2</v>
      </c>
      <c r="Z79" s="192">
        <v>6</v>
      </c>
      <c r="AA79" s="192">
        <v>0</v>
      </c>
      <c r="AB79" s="195" t="s">
        <v>1056</v>
      </c>
      <c r="AC79"/>
    </row>
    <row r="80" spans="1:29" ht="19.95" customHeight="1" x14ac:dyDescent="0.35">
      <c r="A80" s="116" t="s">
        <v>821</v>
      </c>
      <c r="B80" s="74">
        <v>1770</v>
      </c>
      <c r="C80" s="78">
        <v>2.75</v>
      </c>
      <c r="D80" s="81">
        <v>1</v>
      </c>
      <c r="E80" s="81">
        <v>1</v>
      </c>
      <c r="F80" s="81">
        <v>0</v>
      </c>
      <c r="G80" s="85">
        <v>0.01</v>
      </c>
      <c r="H80" s="85">
        <v>0.01</v>
      </c>
      <c r="I80" s="85">
        <v>0.01</v>
      </c>
      <c r="J80" s="81">
        <v>1</v>
      </c>
      <c r="K80" s="88">
        <v>0</v>
      </c>
      <c r="L80" s="88">
        <v>0</v>
      </c>
      <c r="M80" s="88">
        <v>0</v>
      </c>
      <c r="N80" s="88">
        <v>0</v>
      </c>
      <c r="O80" s="88">
        <v>0</v>
      </c>
      <c r="P80" s="88">
        <v>0</v>
      </c>
      <c r="Q80" s="88">
        <v>7.5</v>
      </c>
      <c r="R80" s="97">
        <v>0</v>
      </c>
      <c r="S80" s="81">
        <v>1</v>
      </c>
      <c r="T80" s="81">
        <v>1</v>
      </c>
      <c r="U80" s="85">
        <v>0.01</v>
      </c>
      <c r="V80" s="91">
        <f t="shared" si="7"/>
        <v>-3.1300000000000001E-2</v>
      </c>
      <c r="W80" s="100">
        <f t="shared" si="6"/>
        <v>-3.13</v>
      </c>
      <c r="X80" s="90">
        <v>4.13</v>
      </c>
      <c r="Y80" s="192">
        <v>0</v>
      </c>
      <c r="Z80" s="192">
        <v>0</v>
      </c>
      <c r="AA80" s="192">
        <v>0</v>
      </c>
      <c r="AB80" s="191" t="s">
        <v>1057</v>
      </c>
      <c r="AC80"/>
    </row>
    <row r="81" spans="1:29" ht="19.95" customHeight="1" x14ac:dyDescent="0.35">
      <c r="A81" s="116" t="s">
        <v>822</v>
      </c>
      <c r="B81" s="74">
        <v>3540</v>
      </c>
      <c r="C81" s="78" t="s">
        <v>843</v>
      </c>
      <c r="D81" s="81">
        <v>0.5</v>
      </c>
      <c r="E81" s="81">
        <v>1.2</v>
      </c>
      <c r="F81" s="81">
        <v>0</v>
      </c>
      <c r="G81" s="85">
        <v>5.0000000000000001E-3</v>
      </c>
      <c r="H81" s="85">
        <v>5.0000000000000001E-3</v>
      </c>
      <c r="I81" s="85">
        <v>5.0000000000000001E-3</v>
      </c>
      <c r="J81" s="81">
        <v>0.5</v>
      </c>
      <c r="K81" s="88">
        <v>0.5</v>
      </c>
      <c r="L81" s="88">
        <v>0</v>
      </c>
      <c r="M81" s="88">
        <v>0</v>
      </c>
      <c r="N81" s="88">
        <v>0.5</v>
      </c>
      <c r="O81" s="88">
        <v>0.5</v>
      </c>
      <c r="P81" s="88">
        <v>0.5</v>
      </c>
      <c r="Q81" s="88">
        <v>0</v>
      </c>
      <c r="R81" s="97">
        <v>0.5</v>
      </c>
      <c r="S81" s="81">
        <v>0.5</v>
      </c>
      <c r="T81" s="81">
        <v>0.5</v>
      </c>
      <c r="U81" s="85">
        <v>0</v>
      </c>
      <c r="V81" s="91">
        <f t="shared" si="7"/>
        <v>5.0000000000000001E-3</v>
      </c>
      <c r="W81" s="100">
        <f t="shared" si="6"/>
        <v>0.5</v>
      </c>
      <c r="X81" s="90">
        <v>0</v>
      </c>
      <c r="Y81" s="192">
        <v>2</v>
      </c>
      <c r="Z81" s="192">
        <v>2</v>
      </c>
      <c r="AA81" s="192">
        <v>0</v>
      </c>
      <c r="AB81" s="191" t="s">
        <v>1057</v>
      </c>
      <c r="AC81"/>
    </row>
    <row r="82" spans="1:29" ht="19.95" customHeight="1" x14ac:dyDescent="0.35">
      <c r="A82" s="116" t="s">
        <v>823</v>
      </c>
      <c r="B82" s="74">
        <v>0</v>
      </c>
      <c r="C82" s="78" t="s">
        <v>843</v>
      </c>
      <c r="D82" s="81">
        <v>0.25</v>
      </c>
      <c r="E82" s="81">
        <v>0.25</v>
      </c>
      <c r="F82" s="81">
        <v>0</v>
      </c>
      <c r="G82" s="85">
        <v>2.5000000000000001E-3</v>
      </c>
      <c r="H82" s="85">
        <v>2.5000000000000001E-3</v>
      </c>
      <c r="I82" s="85">
        <v>2.5000000000000001E-3</v>
      </c>
      <c r="J82" s="81">
        <v>0.25</v>
      </c>
      <c r="K82" s="88">
        <v>0.25</v>
      </c>
      <c r="L82" s="88">
        <v>0</v>
      </c>
      <c r="M82" s="88">
        <v>0</v>
      </c>
      <c r="N82" s="88">
        <v>0.25</v>
      </c>
      <c r="O82" s="88">
        <v>0.25</v>
      </c>
      <c r="P82" s="88">
        <v>0.25</v>
      </c>
      <c r="Q82" s="88">
        <v>0</v>
      </c>
      <c r="R82" s="97">
        <v>0.2</v>
      </c>
      <c r="S82" s="81">
        <v>5</v>
      </c>
      <c r="T82" s="81">
        <v>5</v>
      </c>
      <c r="U82" s="85">
        <v>2.5000000000000001E-3</v>
      </c>
      <c r="V82" s="91">
        <f t="shared" si="7"/>
        <v>-3.8800000000000001E-2</v>
      </c>
      <c r="W82" s="100">
        <f t="shared" si="6"/>
        <v>-3.88</v>
      </c>
      <c r="X82" s="90">
        <v>4.13</v>
      </c>
      <c r="Y82" s="192">
        <v>0</v>
      </c>
      <c r="Z82" s="192">
        <v>0</v>
      </c>
      <c r="AA82" s="192">
        <v>0</v>
      </c>
      <c r="AB82" s="191" t="s">
        <v>1057</v>
      </c>
      <c r="AC82"/>
    </row>
    <row r="83" spans="1:29" ht="19.95" customHeight="1" x14ac:dyDescent="0.35">
      <c r="A83" s="117" t="s">
        <v>824</v>
      </c>
      <c r="B83" s="74">
        <v>590</v>
      </c>
      <c r="C83" s="78">
        <v>2</v>
      </c>
      <c r="D83" s="81">
        <v>1.25</v>
      </c>
      <c r="E83" s="81">
        <v>5</v>
      </c>
      <c r="F83" s="81">
        <v>7.5</v>
      </c>
      <c r="G83" s="85">
        <v>1.2500000000000001E-2</v>
      </c>
      <c r="H83" s="85">
        <v>1.2500000000000001E-2</v>
      </c>
      <c r="I83" s="85">
        <v>1.2500000000000001E-2</v>
      </c>
      <c r="J83" s="81">
        <v>1.25</v>
      </c>
      <c r="K83" s="88">
        <v>1.25</v>
      </c>
      <c r="L83" s="88">
        <v>0</v>
      </c>
      <c r="M83" s="88">
        <v>0</v>
      </c>
      <c r="N83" s="88">
        <v>1.25</v>
      </c>
      <c r="O83" s="88">
        <v>1.25</v>
      </c>
      <c r="P83" s="88">
        <v>1.25</v>
      </c>
      <c r="Q83" s="88">
        <v>0</v>
      </c>
      <c r="R83" s="97">
        <v>5</v>
      </c>
      <c r="S83" s="81">
        <v>1.25</v>
      </c>
      <c r="T83" s="81">
        <v>5</v>
      </c>
      <c r="U83" s="85">
        <v>1.2500000000000001E-2</v>
      </c>
      <c r="V83" s="91">
        <f t="shared" si="7"/>
        <v>-2.8799999999999999E-2</v>
      </c>
      <c r="W83" s="100">
        <f t="shared" si="6"/>
        <v>-2.88</v>
      </c>
      <c r="X83" s="90">
        <v>4.13</v>
      </c>
      <c r="Y83" s="192">
        <v>1</v>
      </c>
      <c r="Z83" s="192">
        <v>0</v>
      </c>
      <c r="AA83" s="192">
        <v>0</v>
      </c>
      <c r="AB83" s="191" t="s">
        <v>1057</v>
      </c>
      <c r="AC83"/>
    </row>
    <row r="84" spans="1:29" ht="19.95" customHeight="1" x14ac:dyDescent="0.35">
      <c r="A84" s="117" t="s">
        <v>825</v>
      </c>
      <c r="B84" s="74">
        <v>1180</v>
      </c>
      <c r="C84" s="78">
        <v>3</v>
      </c>
      <c r="D84" s="81">
        <v>2</v>
      </c>
      <c r="E84" s="81">
        <v>5</v>
      </c>
      <c r="F84" s="81">
        <v>0</v>
      </c>
      <c r="G84" s="85">
        <v>0.02</v>
      </c>
      <c r="H84" s="85">
        <v>0.02</v>
      </c>
      <c r="I84" s="85">
        <v>0.02</v>
      </c>
      <c r="J84" s="81">
        <v>2</v>
      </c>
      <c r="K84" s="88">
        <v>0</v>
      </c>
      <c r="L84" s="88">
        <v>0</v>
      </c>
      <c r="M84" s="88">
        <v>0</v>
      </c>
      <c r="N84" s="88">
        <v>2</v>
      </c>
      <c r="O84" s="88">
        <v>2</v>
      </c>
      <c r="P84" s="88">
        <v>2</v>
      </c>
      <c r="Q84" s="88">
        <v>0</v>
      </c>
      <c r="R84" s="97">
        <v>5</v>
      </c>
      <c r="S84" s="81">
        <v>3</v>
      </c>
      <c r="T84" s="81">
        <v>3</v>
      </c>
      <c r="U84" s="85">
        <v>0</v>
      </c>
      <c r="V84" s="91">
        <f t="shared" si="7"/>
        <v>-2.1299999999999999E-2</v>
      </c>
      <c r="W84" s="100">
        <f t="shared" si="6"/>
        <v>-2.13</v>
      </c>
      <c r="X84" s="90">
        <v>4.13</v>
      </c>
      <c r="Y84" s="192">
        <v>2</v>
      </c>
      <c r="Z84" s="192">
        <v>0</v>
      </c>
      <c r="AA84" s="192">
        <v>0</v>
      </c>
      <c r="AB84" s="191" t="s">
        <v>1057</v>
      </c>
      <c r="AC84"/>
    </row>
    <row r="85" spans="1:29" ht="19.95" customHeight="1" x14ac:dyDescent="0.35">
      <c r="A85" s="117" t="s">
        <v>826</v>
      </c>
      <c r="B85" s="74">
        <v>530</v>
      </c>
      <c r="C85" s="78">
        <v>0.5</v>
      </c>
      <c r="D85" s="81">
        <v>0.5</v>
      </c>
      <c r="E85" s="81">
        <v>0.5</v>
      </c>
      <c r="F85" s="81">
        <v>0</v>
      </c>
      <c r="G85" s="85">
        <v>5.0000000000000001E-3</v>
      </c>
      <c r="H85" s="85">
        <v>5.0000000000000001E-3</v>
      </c>
      <c r="I85" s="85">
        <v>5.0000000000000001E-3</v>
      </c>
      <c r="J85" s="81">
        <v>0.5</v>
      </c>
      <c r="K85" s="88">
        <v>0.5</v>
      </c>
      <c r="L85" s="88">
        <v>0.5</v>
      </c>
      <c r="M85" s="88">
        <v>0.5</v>
      </c>
      <c r="N85" s="88">
        <v>0.5</v>
      </c>
      <c r="O85" s="88">
        <v>0.5</v>
      </c>
      <c r="P85" s="88">
        <v>0.5</v>
      </c>
      <c r="Q85" s="88">
        <v>4</v>
      </c>
      <c r="R85" s="97">
        <v>2</v>
      </c>
      <c r="S85" s="81">
        <v>2</v>
      </c>
      <c r="T85" s="81">
        <v>2</v>
      </c>
      <c r="U85" s="85">
        <v>5.0000000000000001E-3</v>
      </c>
      <c r="V85" s="91">
        <f t="shared" si="7"/>
        <v>-3.6299999999999999E-2</v>
      </c>
      <c r="W85" s="100">
        <f t="shared" si="6"/>
        <v>-3.63</v>
      </c>
      <c r="X85" s="90">
        <v>4.13</v>
      </c>
      <c r="Y85" s="192">
        <v>0</v>
      </c>
      <c r="Z85" s="192">
        <v>0</v>
      </c>
      <c r="AA85" s="192">
        <v>0</v>
      </c>
      <c r="AB85" s="191" t="s">
        <v>1057</v>
      </c>
      <c r="AC85"/>
    </row>
    <row r="86" spans="1:29" ht="19.95" customHeight="1" x14ac:dyDescent="0.35">
      <c r="A86" s="117" t="s">
        <v>827</v>
      </c>
      <c r="B86" s="74">
        <v>0</v>
      </c>
      <c r="C86" s="78" t="s">
        <v>843</v>
      </c>
      <c r="D86" s="81">
        <v>0.27</v>
      </c>
      <c r="E86" s="81">
        <v>0.5</v>
      </c>
      <c r="F86" s="81">
        <v>0</v>
      </c>
      <c r="G86" s="85">
        <v>2.7000000000000001E-3</v>
      </c>
      <c r="H86" s="85">
        <v>2.7000000000000001E-3</v>
      </c>
      <c r="I86" s="85">
        <v>2.7000000000000001E-3</v>
      </c>
      <c r="J86" s="81">
        <v>0.27</v>
      </c>
      <c r="K86" s="88">
        <v>0.27</v>
      </c>
      <c r="L86" s="88">
        <v>0</v>
      </c>
      <c r="M86" s="88">
        <v>0</v>
      </c>
      <c r="N86" s="88">
        <v>0.27</v>
      </c>
      <c r="O86" s="88">
        <v>0.27</v>
      </c>
      <c r="P86" s="88">
        <v>0.27</v>
      </c>
      <c r="Q86" s="88">
        <v>0</v>
      </c>
      <c r="R86" s="97">
        <v>0.5</v>
      </c>
      <c r="S86" s="81">
        <v>0.5</v>
      </c>
      <c r="T86" s="81">
        <v>0.5</v>
      </c>
      <c r="U86" s="85">
        <v>2.7000000000000001E-3</v>
      </c>
      <c r="V86" s="91">
        <f t="shared" si="7"/>
        <v>-3.8599999999999995E-2</v>
      </c>
      <c r="W86" s="100">
        <f t="shared" si="6"/>
        <v>-3.86</v>
      </c>
      <c r="X86" s="90">
        <v>4.13</v>
      </c>
      <c r="Y86" s="192">
        <v>0</v>
      </c>
      <c r="Z86" s="192">
        <v>0</v>
      </c>
      <c r="AA86" s="192">
        <v>0</v>
      </c>
      <c r="AB86" s="191" t="s">
        <v>1057</v>
      </c>
      <c r="AC86"/>
    </row>
    <row r="87" spans="1:29" ht="19.95" customHeight="1" x14ac:dyDescent="0.35">
      <c r="A87" s="117" t="s">
        <v>828</v>
      </c>
      <c r="B87" s="74">
        <v>1180</v>
      </c>
      <c r="C87" s="78">
        <v>1.5</v>
      </c>
      <c r="D87" s="81">
        <v>0.83</v>
      </c>
      <c r="E87" s="81">
        <v>0.83</v>
      </c>
      <c r="F87" s="81">
        <v>0</v>
      </c>
      <c r="G87" s="85">
        <v>1.67E-2</v>
      </c>
      <c r="H87" s="85">
        <v>1.67E-2</v>
      </c>
      <c r="I87" s="85">
        <v>1.67E-2</v>
      </c>
      <c r="J87" s="81">
        <v>0.83</v>
      </c>
      <c r="K87" s="88">
        <v>0.83</v>
      </c>
      <c r="L87" s="88">
        <v>0.83</v>
      </c>
      <c r="M87" s="88">
        <v>0.83</v>
      </c>
      <c r="N87" s="88">
        <v>0.83</v>
      </c>
      <c r="O87" s="88">
        <v>0.83</v>
      </c>
      <c r="P87" s="88">
        <v>0.83</v>
      </c>
      <c r="Q87" s="88">
        <v>0</v>
      </c>
      <c r="R87" s="97">
        <v>0.83</v>
      </c>
      <c r="S87" s="81">
        <v>0.83</v>
      </c>
      <c r="T87" s="81">
        <v>0.83</v>
      </c>
      <c r="U87" s="85">
        <v>0</v>
      </c>
      <c r="V87" s="91">
        <f t="shared" si="7"/>
        <v>-2.46E-2</v>
      </c>
      <c r="W87" s="100">
        <f t="shared" si="6"/>
        <v>-2.46</v>
      </c>
      <c r="X87" s="90">
        <v>4.13</v>
      </c>
      <c r="Y87" s="192">
        <v>2</v>
      </c>
      <c r="Z87" s="192">
        <v>3</v>
      </c>
      <c r="AA87" s="192">
        <v>0</v>
      </c>
      <c r="AB87" s="191" t="s">
        <v>1057</v>
      </c>
      <c r="AC87"/>
    </row>
    <row r="88" spans="1:29" ht="19.95" customHeight="1" x14ac:dyDescent="0.35">
      <c r="A88" s="117" t="s">
        <v>829</v>
      </c>
      <c r="B88" s="74">
        <v>2950</v>
      </c>
      <c r="C88" s="78">
        <v>5</v>
      </c>
      <c r="D88" s="81">
        <v>0.5</v>
      </c>
      <c r="E88" s="81">
        <v>1.25</v>
      </c>
      <c r="F88" s="81">
        <v>0</v>
      </c>
      <c r="G88" s="85">
        <v>1.2500000000000001E-2</v>
      </c>
      <c r="H88" s="85">
        <v>1.2500000000000001E-2</v>
      </c>
      <c r="I88" s="85">
        <v>5.0000000000000001E-3</v>
      </c>
      <c r="J88" s="81">
        <v>0.5</v>
      </c>
      <c r="K88" s="88">
        <v>0.5</v>
      </c>
      <c r="L88" s="88">
        <v>0.5</v>
      </c>
      <c r="M88" s="88">
        <v>0.5</v>
      </c>
      <c r="N88" s="88">
        <v>0.5</v>
      </c>
      <c r="O88" s="88">
        <v>0.5</v>
      </c>
      <c r="P88" s="88">
        <v>0.5</v>
      </c>
      <c r="Q88" s="88">
        <v>0</v>
      </c>
      <c r="R88" s="97">
        <v>1.25</v>
      </c>
      <c r="S88" s="81">
        <v>2.25</v>
      </c>
      <c r="T88" s="81">
        <v>2.25</v>
      </c>
      <c r="U88" s="85">
        <v>0</v>
      </c>
      <c r="V88" s="91">
        <f t="shared" si="7"/>
        <v>-3.6299999999999999E-2</v>
      </c>
      <c r="W88" s="100">
        <f t="shared" si="6"/>
        <v>-2.88</v>
      </c>
      <c r="X88" s="90">
        <v>4.13</v>
      </c>
      <c r="Y88" s="192">
        <v>2</v>
      </c>
      <c r="Z88" s="192">
        <v>4</v>
      </c>
      <c r="AA88" s="192">
        <v>0</v>
      </c>
      <c r="AB88" s="191" t="s">
        <v>1057</v>
      </c>
      <c r="AC88"/>
    </row>
    <row r="89" spans="1:29" ht="19.95" customHeight="1" x14ac:dyDescent="0.35">
      <c r="A89" s="117" t="s">
        <v>830</v>
      </c>
      <c r="B89" s="74">
        <v>14750</v>
      </c>
      <c r="C89" s="78">
        <v>10</v>
      </c>
      <c r="D89" s="81">
        <v>1</v>
      </c>
      <c r="E89" s="81">
        <v>2</v>
      </c>
      <c r="F89" s="81">
        <v>0</v>
      </c>
      <c r="G89" s="85">
        <v>0.02</v>
      </c>
      <c r="H89" s="85">
        <v>0.02</v>
      </c>
      <c r="I89" s="85">
        <v>0.02</v>
      </c>
      <c r="J89" s="81">
        <v>2</v>
      </c>
      <c r="K89" s="88">
        <v>1.67</v>
      </c>
      <c r="L89" s="88">
        <v>1.67</v>
      </c>
      <c r="M89" s="88">
        <v>1.67</v>
      </c>
      <c r="N89" s="88">
        <v>1.67</v>
      </c>
      <c r="O89" s="88">
        <v>1.67</v>
      </c>
      <c r="P89" s="88">
        <v>1.67</v>
      </c>
      <c r="Q89" s="88">
        <v>0</v>
      </c>
      <c r="R89" s="97">
        <v>2</v>
      </c>
      <c r="S89" s="81">
        <v>2</v>
      </c>
      <c r="T89" s="81">
        <v>2</v>
      </c>
      <c r="U89" s="85">
        <v>0</v>
      </c>
      <c r="V89" s="91">
        <f t="shared" si="7"/>
        <v>-3.5999999999999986E-3</v>
      </c>
      <c r="W89" s="100">
        <f t="shared" ref="W89:W97" si="8">H89*100-X89</f>
        <v>-0.35999999999999988</v>
      </c>
      <c r="X89" s="90">
        <v>2.36</v>
      </c>
      <c r="Y89" s="192" t="s">
        <v>1139</v>
      </c>
      <c r="Z89" s="192" t="s">
        <v>1139</v>
      </c>
      <c r="AA89" s="192">
        <v>0</v>
      </c>
      <c r="AB89" s="191" t="s">
        <v>1057</v>
      </c>
      <c r="AC89"/>
    </row>
    <row r="90" spans="1:29" ht="19.95" customHeight="1" x14ac:dyDescent="0.35">
      <c r="A90" s="117" t="s">
        <v>831</v>
      </c>
      <c r="B90" s="74">
        <v>3540</v>
      </c>
      <c r="C90" s="78">
        <v>5</v>
      </c>
      <c r="D90" s="81">
        <v>1</v>
      </c>
      <c r="E90" s="81">
        <v>2.25</v>
      </c>
      <c r="F90" s="81">
        <v>0</v>
      </c>
      <c r="G90" s="85">
        <v>2.5000000000000001E-2</v>
      </c>
      <c r="H90" s="85">
        <v>2.5000000000000001E-2</v>
      </c>
      <c r="I90" s="85">
        <v>2.5000000000000001E-2</v>
      </c>
      <c r="J90" s="81">
        <v>2.25</v>
      </c>
      <c r="K90" s="88">
        <v>1</v>
      </c>
      <c r="L90" s="88">
        <v>1</v>
      </c>
      <c r="M90" s="88">
        <v>1</v>
      </c>
      <c r="N90" s="88">
        <v>1</v>
      </c>
      <c r="O90" s="88">
        <v>1</v>
      </c>
      <c r="P90" s="88">
        <v>1</v>
      </c>
      <c r="Q90" s="88">
        <v>1</v>
      </c>
      <c r="R90" s="97">
        <v>2.25</v>
      </c>
      <c r="S90" s="81">
        <v>2.25</v>
      </c>
      <c r="T90" s="81">
        <v>2.25</v>
      </c>
      <c r="U90" s="85">
        <v>0</v>
      </c>
      <c r="V90" s="91">
        <f t="shared" si="7"/>
        <v>-1.6299999999999999E-2</v>
      </c>
      <c r="W90" s="100">
        <f t="shared" si="8"/>
        <v>-1.63</v>
      </c>
      <c r="X90" s="90">
        <v>4.13</v>
      </c>
      <c r="Y90" s="192">
        <v>2</v>
      </c>
      <c r="Z90" s="192">
        <v>4</v>
      </c>
      <c r="AA90" s="192">
        <v>0</v>
      </c>
      <c r="AB90" s="191" t="s">
        <v>1057</v>
      </c>
      <c r="AC90"/>
    </row>
    <row r="91" spans="1:29" ht="19.95" customHeight="1" x14ac:dyDescent="0.35">
      <c r="A91" s="108" t="s">
        <v>832</v>
      </c>
      <c r="B91" s="74">
        <v>0</v>
      </c>
      <c r="C91" s="78" t="s">
        <v>843</v>
      </c>
      <c r="D91" s="81">
        <v>0.25</v>
      </c>
      <c r="E91" s="81">
        <v>0.75</v>
      </c>
      <c r="F91" s="81">
        <v>0</v>
      </c>
      <c r="G91" s="85">
        <v>2.5000000000000001E-3</v>
      </c>
      <c r="H91" s="85">
        <v>2.5000000000000001E-3</v>
      </c>
      <c r="I91" s="85">
        <v>2.5000000000000001E-3</v>
      </c>
      <c r="J91" s="81">
        <v>0.25</v>
      </c>
      <c r="K91" s="88">
        <v>0</v>
      </c>
      <c r="L91" s="88">
        <v>0</v>
      </c>
      <c r="M91" s="88">
        <v>0</v>
      </c>
      <c r="N91" s="88">
        <v>0</v>
      </c>
      <c r="O91" s="88">
        <v>0</v>
      </c>
      <c r="P91" s="88">
        <v>0</v>
      </c>
      <c r="Q91" s="88">
        <v>0</v>
      </c>
      <c r="R91" s="97">
        <v>15</v>
      </c>
      <c r="S91" s="81">
        <v>0.25</v>
      </c>
      <c r="T91" s="81">
        <v>0.25</v>
      </c>
      <c r="U91" s="85">
        <v>0</v>
      </c>
      <c r="V91" s="91">
        <f t="shared" si="7"/>
        <v>-2.1099999999999997E-2</v>
      </c>
      <c r="W91" s="100">
        <f t="shared" si="8"/>
        <v>-2.11</v>
      </c>
      <c r="X91" s="90">
        <v>2.36</v>
      </c>
      <c r="Y91" s="192">
        <v>4</v>
      </c>
      <c r="Z91" s="192">
        <v>2</v>
      </c>
      <c r="AA91" s="192">
        <v>0</v>
      </c>
      <c r="AB91" s="191" t="s">
        <v>1057</v>
      </c>
      <c r="AC91"/>
    </row>
    <row r="92" spans="1:29" ht="19.95" customHeight="1" x14ac:dyDescent="0.35">
      <c r="A92" s="108" t="s">
        <v>833</v>
      </c>
      <c r="B92" s="74">
        <v>0</v>
      </c>
      <c r="C92" s="78" t="s">
        <v>843</v>
      </c>
      <c r="D92" s="81">
        <v>0.2</v>
      </c>
      <c r="E92" s="81">
        <v>0.2</v>
      </c>
      <c r="F92" s="81">
        <v>0</v>
      </c>
      <c r="G92" s="85">
        <v>2E-3</v>
      </c>
      <c r="H92" s="85">
        <v>2E-3</v>
      </c>
      <c r="I92" s="85">
        <v>2E-3</v>
      </c>
      <c r="J92" s="81">
        <v>0.2</v>
      </c>
      <c r="K92" s="88">
        <v>0</v>
      </c>
      <c r="L92" s="88">
        <v>0</v>
      </c>
      <c r="M92" s="88">
        <v>0</v>
      </c>
      <c r="N92" s="88">
        <v>0</v>
      </c>
      <c r="O92" s="88">
        <v>0</v>
      </c>
      <c r="P92" s="88">
        <v>0</v>
      </c>
      <c r="Q92" s="88">
        <v>0</v>
      </c>
      <c r="R92" s="97">
        <v>15</v>
      </c>
      <c r="S92" s="81">
        <v>0.2</v>
      </c>
      <c r="T92" s="81">
        <v>0.2</v>
      </c>
      <c r="U92" s="85">
        <v>0</v>
      </c>
      <c r="V92" s="91">
        <f t="shared" si="7"/>
        <v>-3.9299999999999995E-2</v>
      </c>
      <c r="W92" s="100">
        <f t="shared" si="8"/>
        <v>-3.9299999999999997</v>
      </c>
      <c r="X92" s="90">
        <v>4.13</v>
      </c>
      <c r="Y92" s="192">
        <v>2</v>
      </c>
      <c r="Z92" s="192">
        <v>0</v>
      </c>
      <c r="AA92" s="192">
        <v>0</v>
      </c>
      <c r="AB92" s="191" t="s">
        <v>1057</v>
      </c>
      <c r="AC92"/>
    </row>
    <row r="93" spans="1:29" ht="19.95" customHeight="1" x14ac:dyDescent="0.35">
      <c r="A93" s="108" t="s">
        <v>834</v>
      </c>
      <c r="B93" s="74">
        <v>0</v>
      </c>
      <c r="C93" s="78" t="s">
        <v>843</v>
      </c>
      <c r="D93" s="81">
        <v>0.16</v>
      </c>
      <c r="E93" s="81">
        <v>0.16</v>
      </c>
      <c r="F93" s="81">
        <v>0</v>
      </c>
      <c r="G93" s="85">
        <v>1.6000000000000001E-3</v>
      </c>
      <c r="H93" s="85">
        <v>1.6000000000000001E-3</v>
      </c>
      <c r="I93" s="85">
        <v>1.6000000000000001E-3</v>
      </c>
      <c r="J93" s="81">
        <v>0.16</v>
      </c>
      <c r="K93" s="88">
        <v>0</v>
      </c>
      <c r="L93" s="88">
        <v>0</v>
      </c>
      <c r="M93" s="88">
        <v>0</v>
      </c>
      <c r="N93" s="88">
        <v>0</v>
      </c>
      <c r="O93" s="88">
        <v>0</v>
      </c>
      <c r="P93" s="88">
        <v>0</v>
      </c>
      <c r="Q93" s="88">
        <v>0</v>
      </c>
      <c r="R93" s="97">
        <v>15</v>
      </c>
      <c r="S93" s="81">
        <v>0.16</v>
      </c>
      <c r="T93" s="81">
        <v>0.16</v>
      </c>
      <c r="U93" s="85">
        <v>1.6000000000000001E-3</v>
      </c>
      <c r="V93" s="93">
        <f t="shared" si="7"/>
        <v>-3.9699999999999999E-2</v>
      </c>
      <c r="W93" s="101">
        <f t="shared" si="8"/>
        <v>-3.9699999999999998</v>
      </c>
      <c r="X93" s="90">
        <v>4.13</v>
      </c>
      <c r="Y93" s="192">
        <v>1</v>
      </c>
      <c r="Z93" s="192">
        <v>0</v>
      </c>
      <c r="AA93" s="192">
        <v>0</v>
      </c>
      <c r="AB93" s="191" t="s">
        <v>1057</v>
      </c>
      <c r="AC93"/>
    </row>
    <row r="94" spans="1:29" ht="19.95" customHeight="1" x14ac:dyDescent="0.35">
      <c r="A94" s="118" t="s">
        <v>835</v>
      </c>
      <c r="B94" s="74">
        <v>0</v>
      </c>
      <c r="C94" s="78" t="s">
        <v>843</v>
      </c>
      <c r="D94" s="81">
        <v>0.2</v>
      </c>
      <c r="E94" s="81">
        <v>0.2</v>
      </c>
      <c r="F94" s="81">
        <v>0</v>
      </c>
      <c r="G94" s="85">
        <v>0.02</v>
      </c>
      <c r="H94" s="85">
        <v>0.02</v>
      </c>
      <c r="I94" s="85">
        <v>0.02</v>
      </c>
      <c r="J94" s="81">
        <v>2</v>
      </c>
      <c r="K94" s="88">
        <v>0</v>
      </c>
      <c r="L94" s="88">
        <v>2</v>
      </c>
      <c r="M94" s="88">
        <v>0</v>
      </c>
      <c r="N94" s="88">
        <v>2</v>
      </c>
      <c r="O94" s="88">
        <v>2</v>
      </c>
      <c r="P94" s="88">
        <v>2</v>
      </c>
      <c r="Q94" s="88">
        <v>0</v>
      </c>
      <c r="R94" s="97">
        <v>2</v>
      </c>
      <c r="S94" s="81">
        <v>2</v>
      </c>
      <c r="T94" s="81">
        <v>2</v>
      </c>
      <c r="U94" s="85">
        <v>0</v>
      </c>
      <c r="V94" s="93">
        <f t="shared" si="7"/>
        <v>0.02</v>
      </c>
      <c r="W94" s="101">
        <f t="shared" si="8"/>
        <v>2</v>
      </c>
      <c r="X94" s="90">
        <v>0</v>
      </c>
      <c r="Y94" s="192" t="s">
        <v>1139</v>
      </c>
      <c r="Z94" s="192">
        <v>0</v>
      </c>
      <c r="AA94" s="192">
        <v>0</v>
      </c>
      <c r="AB94" s="195" t="s">
        <v>1056</v>
      </c>
      <c r="AC94"/>
    </row>
    <row r="95" spans="1:29" ht="19.95" customHeight="1" x14ac:dyDescent="0.35">
      <c r="A95" s="118" t="s">
        <v>579</v>
      </c>
      <c r="B95" s="74">
        <v>0</v>
      </c>
      <c r="C95" s="78" t="s">
        <v>843</v>
      </c>
      <c r="D95" s="81">
        <v>2</v>
      </c>
      <c r="E95" s="81">
        <v>4</v>
      </c>
      <c r="F95" s="81">
        <v>0</v>
      </c>
      <c r="G95" s="85">
        <v>0.01</v>
      </c>
      <c r="H95" s="85">
        <v>0.01</v>
      </c>
      <c r="I95" s="85">
        <v>0.01</v>
      </c>
      <c r="J95" s="81">
        <v>1</v>
      </c>
      <c r="K95" s="88">
        <v>0</v>
      </c>
      <c r="L95" s="88">
        <v>0</v>
      </c>
      <c r="M95" s="88">
        <v>0</v>
      </c>
      <c r="N95" s="88">
        <v>1</v>
      </c>
      <c r="O95" s="88">
        <v>1</v>
      </c>
      <c r="P95" s="88">
        <v>1</v>
      </c>
      <c r="Q95" s="88">
        <v>0</v>
      </c>
      <c r="R95" s="97">
        <v>1</v>
      </c>
      <c r="S95" s="81">
        <v>1</v>
      </c>
      <c r="T95" s="81">
        <v>1</v>
      </c>
      <c r="U95" s="85">
        <v>0</v>
      </c>
      <c r="V95" s="93">
        <f t="shared" si="7"/>
        <v>-1.7999999999999993E-3</v>
      </c>
      <c r="W95" s="101">
        <f t="shared" si="8"/>
        <v>-0.17999999999999994</v>
      </c>
      <c r="X95" s="90">
        <v>1.18</v>
      </c>
      <c r="Y95" s="192">
        <v>0</v>
      </c>
      <c r="Z95" s="192">
        <v>0</v>
      </c>
      <c r="AA95" s="192">
        <v>0</v>
      </c>
      <c r="AB95" s="191" t="s">
        <v>1057</v>
      </c>
      <c r="AC95"/>
    </row>
    <row r="96" spans="1:29" ht="19.95" customHeight="1" x14ac:dyDescent="0.35">
      <c r="A96" s="118" t="s">
        <v>836</v>
      </c>
      <c r="B96" s="74">
        <v>0</v>
      </c>
      <c r="C96" s="78" t="s">
        <v>843</v>
      </c>
      <c r="D96" s="81">
        <v>0.5</v>
      </c>
      <c r="E96" s="81">
        <v>0.5</v>
      </c>
      <c r="F96" s="81">
        <v>0</v>
      </c>
      <c r="G96" s="85">
        <v>0.01</v>
      </c>
      <c r="H96" s="85">
        <v>0.01</v>
      </c>
      <c r="I96" s="85">
        <v>0.01</v>
      </c>
      <c r="J96" s="81">
        <v>0</v>
      </c>
      <c r="K96" s="88">
        <v>0</v>
      </c>
      <c r="L96" s="88">
        <v>0</v>
      </c>
      <c r="M96" s="88">
        <v>0</v>
      </c>
      <c r="N96" s="88">
        <v>0</v>
      </c>
      <c r="O96" s="88">
        <v>0</v>
      </c>
      <c r="P96" s="88">
        <v>0</v>
      </c>
      <c r="Q96" s="88">
        <v>0</v>
      </c>
      <c r="R96" s="97">
        <v>0.5</v>
      </c>
      <c r="S96" s="81">
        <v>1</v>
      </c>
      <c r="T96" s="81">
        <v>1</v>
      </c>
      <c r="U96" s="85">
        <v>0.01</v>
      </c>
      <c r="V96" s="93">
        <f t="shared" si="7"/>
        <v>-3.1300000000000001E-2</v>
      </c>
      <c r="W96" s="101">
        <f t="shared" si="8"/>
        <v>-3.13</v>
      </c>
      <c r="X96" s="90">
        <v>4.13</v>
      </c>
      <c r="Y96" s="192">
        <v>1</v>
      </c>
      <c r="Z96" s="192">
        <v>0</v>
      </c>
      <c r="AA96" s="192">
        <v>0</v>
      </c>
      <c r="AB96" s="195" t="s">
        <v>1056</v>
      </c>
      <c r="AC96"/>
    </row>
    <row r="97" spans="1:29" ht="19.95" customHeight="1" x14ac:dyDescent="0.35">
      <c r="A97" s="119" t="s">
        <v>837</v>
      </c>
      <c r="B97" s="163">
        <v>0</v>
      </c>
      <c r="C97" s="79" t="s">
        <v>843</v>
      </c>
      <c r="D97" s="82">
        <v>2</v>
      </c>
      <c r="E97" s="82">
        <v>2</v>
      </c>
      <c r="F97" s="81">
        <v>0</v>
      </c>
      <c r="G97" s="86">
        <v>0.02</v>
      </c>
      <c r="H97" s="86">
        <v>0.02</v>
      </c>
      <c r="I97" s="86">
        <v>0.02</v>
      </c>
      <c r="J97" s="82">
        <v>0.4</v>
      </c>
      <c r="K97" s="88">
        <v>0</v>
      </c>
      <c r="L97" s="88">
        <v>0</v>
      </c>
      <c r="M97" s="88">
        <v>0</v>
      </c>
      <c r="N97" s="88">
        <v>0</v>
      </c>
      <c r="O97" s="88">
        <v>0</v>
      </c>
      <c r="P97" s="88">
        <v>0</v>
      </c>
      <c r="Q97" s="88">
        <v>0</v>
      </c>
      <c r="R97" s="98">
        <v>2</v>
      </c>
      <c r="S97" s="82">
        <v>2</v>
      </c>
      <c r="T97" s="82">
        <v>2</v>
      </c>
      <c r="U97" s="86">
        <v>4.0000000000000001E-3</v>
      </c>
      <c r="V97" s="95">
        <f t="shared" si="7"/>
        <v>-2.1299999999999999E-2</v>
      </c>
      <c r="W97" s="94">
        <f t="shared" si="8"/>
        <v>-2.13</v>
      </c>
      <c r="X97" s="90">
        <v>4.13</v>
      </c>
      <c r="Y97" s="192">
        <v>0</v>
      </c>
      <c r="Z97" s="192">
        <v>0</v>
      </c>
      <c r="AA97" s="192">
        <v>0</v>
      </c>
      <c r="AB97" s="191" t="s">
        <v>1057</v>
      </c>
      <c r="AC97"/>
    </row>
    <row r="98" spans="1:29" x14ac:dyDescent="0.3">
      <c r="B98" s="388"/>
      <c r="C98" s="389"/>
      <c r="D98" s="390"/>
      <c r="E98" s="390"/>
      <c r="F98" s="390"/>
      <c r="G98" s="391"/>
      <c r="H98" s="392"/>
      <c r="I98" s="392"/>
      <c r="J98" s="390"/>
      <c r="K98" s="393"/>
      <c r="L98" s="393"/>
      <c r="M98" s="393"/>
      <c r="N98" s="394"/>
      <c r="O98" s="393"/>
      <c r="P98" s="393"/>
      <c r="Q98" s="393"/>
      <c r="R98" s="395"/>
      <c r="S98" s="393"/>
      <c r="T98" s="390"/>
      <c r="U98" s="392"/>
      <c r="V98" s="391"/>
      <c r="W98" s="396"/>
      <c r="X98" s="396"/>
      <c r="Y98" s="397"/>
      <c r="Z98" s="397"/>
      <c r="AA98" s="397"/>
    </row>
  </sheetData>
  <pageMargins left="0.7" right="0.7" top="0.75" bottom="0.75" header="0.3" footer="0.3"/>
  <pageSetup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T88"/>
  <sheetViews>
    <sheetView showGridLines="0" zoomScale="25" zoomScaleNormal="115" workbookViewId="0">
      <selection activeCell="AF45" sqref="AF45"/>
    </sheetView>
  </sheetViews>
  <sheetFormatPr defaultRowHeight="18" x14ac:dyDescent="0.3"/>
  <cols>
    <col min="1" max="1" width="31.33203125" style="164" customWidth="1"/>
    <col min="2" max="3" width="18.44140625" customWidth="1"/>
    <col min="4" max="4" width="26.21875" customWidth="1"/>
    <col min="5" max="5" width="22" customWidth="1"/>
    <col min="6" max="6" width="23.77734375" customWidth="1"/>
    <col min="7" max="7" width="17.21875" customWidth="1"/>
    <col min="8" max="8" width="16.5546875" customWidth="1"/>
    <col min="9" max="9" width="15.33203125" customWidth="1"/>
    <col min="10" max="10" width="15" customWidth="1"/>
    <col min="11" max="11" width="20.5546875" customWidth="1"/>
    <col min="12" max="12" width="13.44140625" customWidth="1"/>
    <col min="13" max="13" width="19.77734375" customWidth="1"/>
    <col min="14" max="14" width="22" customWidth="1"/>
    <col min="15" max="15" width="22.88671875" customWidth="1"/>
    <col min="16" max="16" width="23.109375" customWidth="1"/>
    <col min="17" max="17" width="23.33203125" customWidth="1"/>
    <col min="18" max="18" width="36.6640625" customWidth="1"/>
    <col min="19" max="19" width="61.88671875" customWidth="1"/>
    <col min="20" max="20" width="37.77734375" customWidth="1"/>
    <col min="21" max="21" width="21.88671875" customWidth="1"/>
    <col min="22" max="22" width="25.88671875" customWidth="1"/>
    <col min="23" max="23" width="16.33203125" customWidth="1"/>
    <col min="24" max="24" width="51.21875" customWidth="1"/>
    <col min="25" max="25" width="40.33203125" customWidth="1"/>
    <col min="26" max="26" width="57.33203125" customWidth="1"/>
    <col min="27" max="27" width="34.33203125" customWidth="1"/>
    <col min="28" max="28" width="44.88671875" customWidth="1"/>
    <col min="31" max="31" width="46" customWidth="1"/>
    <col min="32" max="32" width="57.5546875" customWidth="1"/>
    <col min="33" max="33" width="58.33203125" customWidth="1"/>
    <col min="34" max="34" width="33.6640625" customWidth="1"/>
  </cols>
  <sheetData>
    <row r="1" spans="1:72" ht="18" customHeight="1" x14ac:dyDescent="0.3">
      <c r="A1" s="344" t="s">
        <v>1146</v>
      </c>
      <c r="B1" s="344"/>
      <c r="C1" s="344"/>
      <c r="D1" s="344"/>
      <c r="E1" s="344"/>
      <c r="F1" s="344"/>
      <c r="G1" s="344"/>
      <c r="H1" s="344"/>
      <c r="I1" s="344"/>
      <c r="J1" s="344"/>
      <c r="K1" s="344"/>
      <c r="L1" s="344"/>
      <c r="M1" s="344"/>
      <c r="N1" s="344"/>
      <c r="O1" s="344"/>
      <c r="P1" s="344"/>
      <c r="Q1" s="344"/>
      <c r="R1" s="344"/>
      <c r="S1" s="344"/>
      <c r="T1" s="344"/>
      <c r="U1" s="344"/>
      <c r="V1" s="344"/>
      <c r="W1" s="344"/>
      <c r="X1" s="344"/>
      <c r="Y1" s="344"/>
      <c r="Z1" s="344"/>
      <c r="AA1" s="344"/>
      <c r="AB1" s="344"/>
      <c r="AC1" s="344"/>
      <c r="AD1" s="344"/>
      <c r="AE1" s="344"/>
      <c r="AF1" s="344"/>
      <c r="AG1" s="344"/>
      <c r="AH1" s="344"/>
    </row>
    <row r="2" spans="1:72" ht="60" customHeight="1" x14ac:dyDescent="0.3">
      <c r="A2" s="344"/>
      <c r="B2" s="344"/>
      <c r="C2" s="344"/>
      <c r="D2" s="344"/>
      <c r="E2" s="344"/>
      <c r="F2" s="344"/>
      <c r="G2" s="344"/>
      <c r="H2" s="344"/>
      <c r="I2" s="344"/>
      <c r="J2" s="344"/>
      <c r="K2" s="344"/>
      <c r="L2" s="344"/>
      <c r="M2" s="344"/>
      <c r="N2" s="344"/>
      <c r="O2" s="344"/>
      <c r="P2" s="344"/>
      <c r="Q2" s="344"/>
      <c r="R2" s="344"/>
      <c r="S2" s="344"/>
      <c r="T2" s="344"/>
      <c r="U2" s="344"/>
      <c r="V2" s="344"/>
      <c r="W2" s="344"/>
      <c r="X2" s="344"/>
      <c r="Y2" s="344"/>
      <c r="Z2" s="344"/>
      <c r="AA2" s="344"/>
      <c r="AB2" s="344"/>
      <c r="AC2" s="344"/>
      <c r="AD2" s="344"/>
      <c r="AE2" s="344"/>
      <c r="AF2" s="344"/>
      <c r="AG2" s="344"/>
      <c r="AH2" s="344"/>
    </row>
    <row r="3" spans="1:72" ht="60" customHeight="1" x14ac:dyDescent="0.3">
      <c r="A3" s="349" t="s">
        <v>1148</v>
      </c>
      <c r="B3" s="349"/>
      <c r="C3" s="349"/>
      <c r="D3" s="349"/>
      <c r="E3" s="349"/>
      <c r="F3" s="349"/>
      <c r="G3" s="349"/>
      <c r="H3" s="349"/>
      <c r="I3" s="349"/>
      <c r="J3" s="349"/>
      <c r="K3" s="349"/>
      <c r="L3" s="349"/>
      <c r="M3" s="349"/>
      <c r="N3" s="349"/>
      <c r="O3" s="349"/>
      <c r="P3" s="349"/>
      <c r="Q3" s="349"/>
      <c r="R3" s="349"/>
      <c r="S3" s="349"/>
      <c r="T3" s="349"/>
      <c r="U3" s="349"/>
      <c r="V3" s="349"/>
      <c r="W3" s="220"/>
      <c r="X3" s="346" t="s">
        <v>1149</v>
      </c>
      <c r="Y3" s="345"/>
      <c r="Z3" s="345"/>
      <c r="AA3" s="345"/>
      <c r="AB3" s="345"/>
      <c r="AC3" s="345"/>
      <c r="AD3" s="345"/>
      <c r="AE3" s="345" t="s">
        <v>1156</v>
      </c>
      <c r="AF3" s="345"/>
      <c r="AG3" s="345"/>
      <c r="AH3" s="345"/>
      <c r="AI3" s="220"/>
    </row>
    <row r="4" spans="1:72" ht="60" customHeight="1" x14ac:dyDescent="0.3">
      <c r="A4" s="349"/>
      <c r="B4" s="349"/>
      <c r="C4" s="349"/>
      <c r="D4" s="349"/>
      <c r="E4" s="349"/>
      <c r="F4" s="349"/>
      <c r="G4" s="349"/>
      <c r="H4" s="349"/>
      <c r="I4" s="349"/>
      <c r="J4" s="349"/>
      <c r="K4" s="349"/>
      <c r="L4" s="349"/>
      <c r="M4" s="349"/>
      <c r="N4" s="349"/>
      <c r="O4" s="349"/>
      <c r="P4" s="349"/>
      <c r="Q4" s="349"/>
      <c r="R4" s="349"/>
      <c r="S4" s="349"/>
      <c r="T4" s="349"/>
      <c r="U4" s="349"/>
      <c r="V4" s="349"/>
      <c r="W4" s="220"/>
      <c r="X4" s="346"/>
      <c r="Y4" s="345"/>
      <c r="Z4" s="345"/>
      <c r="AA4" s="345"/>
      <c r="AB4" s="345"/>
      <c r="AC4" s="345"/>
      <c r="AD4" s="345"/>
      <c r="AE4" s="345"/>
      <c r="AF4" s="345"/>
      <c r="AG4" s="345"/>
      <c r="AH4" s="345"/>
      <c r="AI4" s="220"/>
    </row>
    <row r="5" spans="1:72" ht="100.2" customHeight="1" x14ac:dyDescent="0.3">
      <c r="A5" s="349"/>
      <c r="B5" s="349"/>
      <c r="C5" s="349"/>
      <c r="D5" s="349"/>
      <c r="E5" s="349"/>
      <c r="F5" s="349"/>
      <c r="G5" s="349"/>
      <c r="H5" s="349"/>
      <c r="I5" s="349"/>
      <c r="J5" s="349"/>
      <c r="K5" s="349"/>
      <c r="L5" s="349"/>
      <c r="M5" s="349"/>
      <c r="N5" s="349"/>
      <c r="O5" s="349"/>
      <c r="P5" s="349"/>
      <c r="Q5" s="349"/>
      <c r="R5" s="349"/>
      <c r="S5" s="349"/>
      <c r="T5" s="349"/>
      <c r="U5" s="349"/>
      <c r="V5" s="349"/>
      <c r="W5" s="220"/>
      <c r="X5" s="346"/>
      <c r="Y5" s="345"/>
      <c r="Z5" s="345"/>
      <c r="AA5" s="345"/>
      <c r="AB5" s="345"/>
      <c r="AC5" s="345"/>
      <c r="AD5" s="345"/>
      <c r="AE5" s="345"/>
      <c r="AF5" s="345"/>
      <c r="AG5" s="345"/>
      <c r="AH5" s="345"/>
      <c r="AI5" s="220"/>
    </row>
    <row r="6" spans="1:72" ht="51" customHeight="1" x14ac:dyDescent="0.3">
      <c r="A6" s="353" t="s">
        <v>863</v>
      </c>
      <c r="B6" s="354"/>
      <c r="C6" s="354"/>
      <c r="D6" s="354"/>
      <c r="E6" s="354"/>
      <c r="F6" s="354"/>
      <c r="G6" s="354"/>
      <c r="H6" s="354"/>
      <c r="I6" s="354"/>
      <c r="J6" s="354"/>
      <c r="K6" s="354"/>
      <c r="L6" s="354"/>
      <c r="M6" s="354"/>
      <c r="N6" s="354"/>
      <c r="O6" s="354"/>
      <c r="P6" s="354"/>
      <c r="Q6" s="354"/>
      <c r="R6" s="354"/>
      <c r="S6" s="354"/>
      <c r="T6" s="354"/>
      <c r="U6" s="354"/>
      <c r="V6" s="354"/>
      <c r="W6" s="168"/>
      <c r="X6" s="351" t="s">
        <v>1048</v>
      </c>
      <c r="Y6" s="352"/>
      <c r="Z6" s="352"/>
      <c r="AA6" s="352"/>
      <c r="AB6" s="352"/>
      <c r="AC6" s="187"/>
      <c r="AD6" s="187"/>
      <c r="AE6" s="343" t="s">
        <v>1063</v>
      </c>
      <c r="AF6" s="343"/>
      <c r="AG6" s="343"/>
      <c r="AH6" s="343"/>
      <c r="AI6" s="187"/>
    </row>
    <row r="7" spans="1:72" s="174" customFormat="1" ht="81.599999999999994" customHeight="1" x14ac:dyDescent="0.4">
      <c r="A7" s="223" t="s">
        <v>864</v>
      </c>
      <c r="B7" s="223" t="s">
        <v>4</v>
      </c>
      <c r="C7" s="223" t="s">
        <v>933</v>
      </c>
      <c r="D7" s="223" t="s">
        <v>940</v>
      </c>
      <c r="E7" s="223" t="s">
        <v>865</v>
      </c>
      <c r="F7" s="223" t="s">
        <v>83</v>
      </c>
      <c r="G7" s="223" t="s">
        <v>81</v>
      </c>
      <c r="H7" s="223" t="s">
        <v>79</v>
      </c>
      <c r="I7" s="223" t="s">
        <v>866</v>
      </c>
      <c r="J7" s="223" t="s">
        <v>867</v>
      </c>
      <c r="K7" s="223" t="s">
        <v>868</v>
      </c>
      <c r="L7" s="223" t="s">
        <v>869</v>
      </c>
      <c r="M7" s="223" t="s">
        <v>0</v>
      </c>
      <c r="N7" s="223" t="s">
        <v>870</v>
      </c>
      <c r="O7" s="223" t="s">
        <v>871</v>
      </c>
      <c r="P7" s="223" t="s">
        <v>872</v>
      </c>
      <c r="Q7" s="223" t="s">
        <v>873</v>
      </c>
      <c r="R7" s="223" t="s">
        <v>874</v>
      </c>
      <c r="S7" s="223" t="s">
        <v>875</v>
      </c>
      <c r="T7" s="223" t="s">
        <v>876</v>
      </c>
      <c r="U7" s="223" t="s">
        <v>80</v>
      </c>
      <c r="V7" s="223" t="s">
        <v>877</v>
      </c>
      <c r="W7" s="173"/>
      <c r="X7" s="185" t="s">
        <v>20</v>
      </c>
      <c r="Y7" s="186" t="s">
        <v>799</v>
      </c>
      <c r="Z7" s="186" t="s">
        <v>252</v>
      </c>
      <c r="AA7" s="186" t="s">
        <v>832</v>
      </c>
      <c r="AB7" s="189" t="s">
        <v>1049</v>
      </c>
      <c r="AE7" s="196" t="s">
        <v>6</v>
      </c>
      <c r="AF7" s="196" t="s">
        <v>1064</v>
      </c>
      <c r="AG7" s="200" t="s">
        <v>1065</v>
      </c>
      <c r="AH7" s="196" t="s">
        <v>1140</v>
      </c>
      <c r="AJ7"/>
      <c r="AK7"/>
      <c r="AL7"/>
      <c r="AM7"/>
      <c r="AN7"/>
      <c r="AO7"/>
      <c r="AP7"/>
      <c r="AQ7"/>
      <c r="AR7"/>
      <c r="AS7"/>
      <c r="AT7"/>
      <c r="AU7"/>
      <c r="AV7"/>
      <c r="AW7"/>
      <c r="AX7"/>
      <c r="AY7"/>
      <c r="AZ7"/>
      <c r="BA7"/>
      <c r="BB7"/>
      <c r="BC7"/>
      <c r="BD7"/>
      <c r="BE7"/>
      <c r="BF7"/>
      <c r="BG7"/>
      <c r="BH7"/>
      <c r="BI7"/>
      <c r="BJ7"/>
      <c r="BK7"/>
      <c r="BL7"/>
      <c r="BM7"/>
      <c r="BN7"/>
      <c r="BO7"/>
      <c r="BP7"/>
      <c r="BQ7"/>
      <c r="BR7"/>
      <c r="BS7"/>
      <c r="BT7"/>
    </row>
    <row r="8" spans="1:72" ht="64.8" customHeight="1" x14ac:dyDescent="0.3">
      <c r="A8" s="224" t="s">
        <v>878</v>
      </c>
      <c r="B8" s="226" t="s">
        <v>941</v>
      </c>
      <c r="C8" s="226" t="s">
        <v>942</v>
      </c>
      <c r="D8" s="226" t="s">
        <v>943</v>
      </c>
      <c r="E8" s="226" t="s">
        <v>944</v>
      </c>
      <c r="F8" s="226" t="s">
        <v>945</v>
      </c>
      <c r="G8" s="226" t="s">
        <v>934</v>
      </c>
      <c r="H8" s="226" t="s">
        <v>946</v>
      </c>
      <c r="I8" s="226" t="s">
        <v>946</v>
      </c>
      <c r="J8" s="226" t="s">
        <v>947</v>
      </c>
      <c r="K8" s="226" t="s">
        <v>948</v>
      </c>
      <c r="L8" s="226" t="s">
        <v>948</v>
      </c>
      <c r="M8" s="227" t="s">
        <v>935</v>
      </c>
      <c r="N8" s="226" t="s">
        <v>937</v>
      </c>
      <c r="O8" s="226" t="s">
        <v>937</v>
      </c>
      <c r="P8" s="226" t="s">
        <v>936</v>
      </c>
      <c r="Q8" s="226" t="s">
        <v>949</v>
      </c>
      <c r="R8" s="226" t="s">
        <v>939</v>
      </c>
      <c r="S8" s="226" t="s">
        <v>968</v>
      </c>
      <c r="T8" s="226" t="s">
        <v>967</v>
      </c>
      <c r="U8" s="226" t="s">
        <v>938</v>
      </c>
      <c r="V8" s="226" t="s">
        <v>982</v>
      </c>
      <c r="X8" s="186" t="s">
        <v>777</v>
      </c>
      <c r="Y8" s="186" t="s">
        <v>800</v>
      </c>
      <c r="Z8" s="186" t="s">
        <v>812</v>
      </c>
      <c r="AA8" s="185" t="s">
        <v>833</v>
      </c>
      <c r="AB8" s="188" t="s">
        <v>1050</v>
      </c>
      <c r="AE8" s="229" t="s">
        <v>13</v>
      </c>
      <c r="AF8" s="199">
        <v>0.01</v>
      </c>
      <c r="AG8" s="201">
        <v>100</v>
      </c>
      <c r="AH8" s="219" t="s">
        <v>1141</v>
      </c>
    </row>
    <row r="9" spans="1:72" ht="54.6" customHeight="1" x14ac:dyDescent="0.3">
      <c r="A9" s="224" t="s">
        <v>1150</v>
      </c>
      <c r="B9" s="226" t="s">
        <v>952</v>
      </c>
      <c r="C9" s="226" t="s">
        <v>950</v>
      </c>
      <c r="D9" s="226" t="s">
        <v>951</v>
      </c>
      <c r="E9" s="226" t="s">
        <v>950</v>
      </c>
      <c r="F9" s="226" t="s">
        <v>963</v>
      </c>
      <c r="G9" s="226" t="s">
        <v>964</v>
      </c>
      <c r="H9" s="226" t="s">
        <v>965</v>
      </c>
      <c r="I9" s="226" t="s">
        <v>966</v>
      </c>
      <c r="J9" s="226" t="s">
        <v>966</v>
      </c>
      <c r="K9" s="226" t="s">
        <v>966</v>
      </c>
      <c r="L9" s="226" t="s">
        <v>966</v>
      </c>
      <c r="M9" s="226" t="s">
        <v>969</v>
      </c>
      <c r="N9" s="226" t="s">
        <v>955</v>
      </c>
      <c r="O9" s="226" t="s">
        <v>955</v>
      </c>
      <c r="P9" s="227" t="s">
        <v>953</v>
      </c>
      <c r="Q9" s="227" t="s">
        <v>565</v>
      </c>
      <c r="R9" s="227" t="s">
        <v>954</v>
      </c>
      <c r="S9" s="227" t="s">
        <v>954</v>
      </c>
      <c r="T9" s="227" t="s">
        <v>954</v>
      </c>
      <c r="U9" s="227" t="s">
        <v>780</v>
      </c>
      <c r="V9" s="226" t="s">
        <v>955</v>
      </c>
      <c r="X9" s="186" t="s">
        <v>65</v>
      </c>
      <c r="Y9" s="185" t="s">
        <v>801</v>
      </c>
      <c r="Z9" s="185" t="s">
        <v>842</v>
      </c>
      <c r="AA9" s="185" t="s">
        <v>834</v>
      </c>
      <c r="AB9" s="188" t="s">
        <v>1051</v>
      </c>
      <c r="AE9" s="229" t="s">
        <v>17</v>
      </c>
      <c r="AF9" s="198">
        <v>2E-3</v>
      </c>
      <c r="AG9" s="201">
        <v>200</v>
      </c>
      <c r="AH9" s="219" t="s">
        <v>1141</v>
      </c>
    </row>
    <row r="10" spans="1:72" ht="55.05" customHeight="1" x14ac:dyDescent="0.3">
      <c r="A10" s="224" t="s">
        <v>1151</v>
      </c>
      <c r="B10" s="226" t="s">
        <v>970</v>
      </c>
      <c r="C10" s="226" t="s">
        <v>971</v>
      </c>
      <c r="D10" s="226" t="s">
        <v>972</v>
      </c>
      <c r="E10" s="226" t="s">
        <v>973</v>
      </c>
      <c r="F10" s="226" t="s">
        <v>971</v>
      </c>
      <c r="G10" s="226" t="s">
        <v>974</v>
      </c>
      <c r="H10" s="226" t="s">
        <v>975</v>
      </c>
      <c r="I10" s="226" t="s">
        <v>976</v>
      </c>
      <c r="J10" s="226" t="s">
        <v>971</v>
      </c>
      <c r="K10" s="226" t="s">
        <v>977</v>
      </c>
      <c r="L10" s="226" t="s">
        <v>977</v>
      </c>
      <c r="M10" s="226" t="s">
        <v>935</v>
      </c>
      <c r="N10" s="226" t="s">
        <v>956</v>
      </c>
      <c r="O10" s="226" t="s">
        <v>1110</v>
      </c>
      <c r="P10" s="227" t="s">
        <v>50</v>
      </c>
      <c r="Q10" s="226" t="s">
        <v>978</v>
      </c>
      <c r="R10" s="227" t="s">
        <v>957</v>
      </c>
      <c r="S10" s="226" t="s">
        <v>979</v>
      </c>
      <c r="T10" s="226" t="s">
        <v>980</v>
      </c>
      <c r="U10" s="227" t="s">
        <v>798</v>
      </c>
      <c r="V10" s="226" t="s">
        <v>981</v>
      </c>
      <c r="X10" s="185" t="s">
        <v>778</v>
      </c>
      <c r="Y10" s="185" t="s">
        <v>802</v>
      </c>
      <c r="Z10" s="186" t="s">
        <v>815</v>
      </c>
      <c r="AA10" s="186" t="s">
        <v>835</v>
      </c>
      <c r="AB10" s="188" t="s">
        <v>1052</v>
      </c>
      <c r="AE10" s="229" t="s">
        <v>20</v>
      </c>
      <c r="AF10" s="198">
        <v>1E-3</v>
      </c>
      <c r="AG10" s="201">
        <v>200</v>
      </c>
      <c r="AH10" s="219" t="s">
        <v>1141</v>
      </c>
    </row>
    <row r="11" spans="1:72" s="166" customFormat="1" ht="79.8" customHeight="1" x14ac:dyDescent="0.3">
      <c r="A11" s="225" t="s">
        <v>1152</v>
      </c>
      <c r="B11" s="226" t="s">
        <v>813</v>
      </c>
      <c r="C11" s="226" t="s">
        <v>16</v>
      </c>
      <c r="D11" s="226" t="s">
        <v>122</v>
      </c>
      <c r="E11" s="226" t="s">
        <v>958</v>
      </c>
      <c r="F11" s="226" t="s">
        <v>958</v>
      </c>
      <c r="G11" s="226" t="s">
        <v>958</v>
      </c>
      <c r="H11" s="226" t="s">
        <v>122</v>
      </c>
      <c r="I11" s="226" t="s">
        <v>959</v>
      </c>
      <c r="J11" s="226" t="s">
        <v>959</v>
      </c>
      <c r="K11" s="226" t="s">
        <v>959</v>
      </c>
      <c r="L11" s="226" t="s">
        <v>958</v>
      </c>
      <c r="M11" s="226" t="s">
        <v>959</v>
      </c>
      <c r="N11" s="226" t="s">
        <v>1111</v>
      </c>
      <c r="O11" s="226" t="s">
        <v>1111</v>
      </c>
      <c r="P11" s="226" t="s">
        <v>935</v>
      </c>
      <c r="Q11" s="226" t="s">
        <v>817</v>
      </c>
      <c r="R11" s="226" t="s">
        <v>960</v>
      </c>
      <c r="S11" s="226" t="s">
        <v>959</v>
      </c>
      <c r="T11" s="226" t="s">
        <v>959</v>
      </c>
      <c r="U11" s="226" t="s">
        <v>961</v>
      </c>
      <c r="V11" s="226" t="s">
        <v>935</v>
      </c>
      <c r="X11" s="186" t="s">
        <v>68</v>
      </c>
      <c r="Y11" s="186" t="s">
        <v>222</v>
      </c>
      <c r="Z11" s="186" t="s">
        <v>816</v>
      </c>
      <c r="AA11" s="185" t="s">
        <v>579</v>
      </c>
      <c r="AB11" s="190" t="s">
        <v>1053</v>
      </c>
      <c r="AE11" s="229" t="s">
        <v>777</v>
      </c>
      <c r="AF11" s="198">
        <v>6.3E-3</v>
      </c>
      <c r="AG11" s="201">
        <v>100</v>
      </c>
      <c r="AH11" s="219" t="s">
        <v>1141</v>
      </c>
      <c r="AJ11"/>
      <c r="AK11"/>
      <c r="AL11"/>
      <c r="AM11"/>
      <c r="AN11"/>
      <c r="AO11"/>
      <c r="AP11"/>
      <c r="AQ11"/>
      <c r="AR11"/>
      <c r="AS11"/>
      <c r="AT11"/>
      <c r="AU11"/>
      <c r="AV11"/>
      <c r="AW11"/>
      <c r="AX11"/>
      <c r="AY11"/>
      <c r="AZ11"/>
      <c r="BA11"/>
      <c r="BB11"/>
      <c r="BC11"/>
      <c r="BD11"/>
      <c r="BE11"/>
      <c r="BF11"/>
      <c r="BG11"/>
      <c r="BH11"/>
      <c r="BI11"/>
      <c r="BJ11"/>
      <c r="BK11"/>
      <c r="BL11"/>
      <c r="BM11"/>
      <c r="BN11"/>
      <c r="BO11"/>
      <c r="BP11"/>
      <c r="BQ11"/>
      <c r="BR11"/>
      <c r="BS11"/>
      <c r="BT11"/>
    </row>
    <row r="12" spans="1:72" s="166" customFormat="1" ht="55.05" customHeight="1" x14ac:dyDescent="0.3">
      <c r="A12" s="225" t="s">
        <v>1153</v>
      </c>
      <c r="B12" s="226" t="s">
        <v>879</v>
      </c>
      <c r="C12" s="226" t="s">
        <v>879</v>
      </c>
      <c r="D12" s="226" t="s">
        <v>879</v>
      </c>
      <c r="E12" s="226" t="s">
        <v>879</v>
      </c>
      <c r="F12" s="226" t="s">
        <v>879</v>
      </c>
      <c r="G12" s="226" t="s">
        <v>879</v>
      </c>
      <c r="H12" s="226" t="s">
        <v>879</v>
      </c>
      <c r="I12" s="226" t="s">
        <v>879</v>
      </c>
      <c r="J12" s="226" t="s">
        <v>879</v>
      </c>
      <c r="K12" s="226" t="s">
        <v>962</v>
      </c>
      <c r="L12" s="226" t="s">
        <v>879</v>
      </c>
      <c r="M12" s="226" t="s">
        <v>935</v>
      </c>
      <c r="N12" s="226" t="s">
        <v>879</v>
      </c>
      <c r="O12" s="226" t="s">
        <v>879</v>
      </c>
      <c r="P12" s="226" t="s">
        <v>935</v>
      </c>
      <c r="Q12" s="226" t="s">
        <v>797</v>
      </c>
      <c r="R12" s="226" t="s">
        <v>879</v>
      </c>
      <c r="S12" s="226" t="s">
        <v>879</v>
      </c>
      <c r="T12" s="226" t="s">
        <v>879</v>
      </c>
      <c r="U12" s="226" t="s">
        <v>797</v>
      </c>
      <c r="V12" s="226" t="s">
        <v>935</v>
      </c>
      <c r="X12" s="186" t="s">
        <v>791</v>
      </c>
      <c r="Y12" s="185" t="s">
        <v>223</v>
      </c>
      <c r="Z12" s="185" t="s">
        <v>823</v>
      </c>
      <c r="AA12" s="186" t="s">
        <v>836</v>
      </c>
      <c r="AB12" s="184" t="s">
        <v>1054</v>
      </c>
      <c r="AE12" s="229" t="s">
        <v>276</v>
      </c>
      <c r="AF12" s="199">
        <v>0.01</v>
      </c>
      <c r="AG12" s="201">
        <v>100</v>
      </c>
      <c r="AH12" s="197" t="s">
        <v>1142</v>
      </c>
      <c r="AJ12"/>
      <c r="AK12"/>
      <c r="AL12"/>
      <c r="AM12"/>
      <c r="AN12"/>
      <c r="AO12"/>
      <c r="AP12"/>
      <c r="AQ12"/>
      <c r="AR12"/>
      <c r="AS12"/>
      <c r="AT12"/>
      <c r="AU12"/>
      <c r="AV12"/>
      <c r="AW12"/>
      <c r="AX12"/>
      <c r="AY12"/>
      <c r="AZ12"/>
      <c r="BA12"/>
      <c r="BB12"/>
      <c r="BC12"/>
      <c r="BD12"/>
      <c r="BE12"/>
      <c r="BF12"/>
      <c r="BG12"/>
      <c r="BH12"/>
      <c r="BI12"/>
      <c r="BJ12"/>
      <c r="BK12"/>
      <c r="BL12"/>
      <c r="BM12"/>
      <c r="BN12"/>
      <c r="BO12"/>
      <c r="BP12"/>
      <c r="BQ12"/>
      <c r="BR12"/>
      <c r="BS12"/>
      <c r="BT12"/>
    </row>
    <row r="13" spans="1:72" s="166" customFormat="1" ht="67.8" customHeight="1" x14ac:dyDescent="0.3">
      <c r="A13" s="225" t="s">
        <v>1154</v>
      </c>
      <c r="B13" s="226" t="s">
        <v>1370</v>
      </c>
      <c r="C13" s="226" t="s">
        <v>1370</v>
      </c>
      <c r="D13" s="226" t="s">
        <v>1370</v>
      </c>
      <c r="E13" s="226" t="s">
        <v>1370</v>
      </c>
      <c r="F13" s="226" t="s">
        <v>1370</v>
      </c>
      <c r="G13" s="226" t="s">
        <v>1370</v>
      </c>
      <c r="H13" s="226" t="s">
        <v>1370</v>
      </c>
      <c r="I13" s="226" t="s">
        <v>1370</v>
      </c>
      <c r="J13" s="226" t="s">
        <v>1370</v>
      </c>
      <c r="K13" s="226" t="s">
        <v>1370</v>
      </c>
      <c r="L13" s="226" t="s">
        <v>1370</v>
      </c>
      <c r="M13" s="226" t="s">
        <v>1370</v>
      </c>
      <c r="N13" s="226" t="s">
        <v>1370</v>
      </c>
      <c r="O13" s="226" t="s">
        <v>1370</v>
      </c>
      <c r="P13" s="226" t="s">
        <v>935</v>
      </c>
      <c r="Q13" s="226" t="s">
        <v>935</v>
      </c>
      <c r="R13" s="226" t="s">
        <v>880</v>
      </c>
      <c r="S13" s="226" t="s">
        <v>880</v>
      </c>
      <c r="T13" s="226" t="s">
        <v>880</v>
      </c>
      <c r="U13" s="228" t="s">
        <v>132</v>
      </c>
      <c r="V13" s="226" t="s">
        <v>935</v>
      </c>
      <c r="X13" s="185" t="s">
        <v>792</v>
      </c>
      <c r="Y13" s="185" t="s">
        <v>807</v>
      </c>
      <c r="Z13" s="185" t="s">
        <v>827</v>
      </c>
      <c r="AA13" s="186" t="s">
        <v>837</v>
      </c>
      <c r="AB13" s="190" t="s">
        <v>1055</v>
      </c>
      <c r="AE13" s="229" t="s">
        <v>781</v>
      </c>
      <c r="AF13" s="198">
        <v>3.3E-3</v>
      </c>
      <c r="AG13" s="201">
        <v>150</v>
      </c>
      <c r="AH13" s="219" t="s">
        <v>1141</v>
      </c>
      <c r="AJ13"/>
      <c r="AK13"/>
      <c r="AL13"/>
      <c r="AM13"/>
      <c r="AN13"/>
      <c r="AO13"/>
      <c r="AP13"/>
      <c r="AQ13"/>
      <c r="AR13"/>
      <c r="AS13"/>
      <c r="AT13"/>
      <c r="AU13"/>
      <c r="AV13"/>
      <c r="AW13"/>
      <c r="AX13"/>
      <c r="AY13"/>
      <c r="AZ13"/>
      <c r="BA13"/>
      <c r="BB13"/>
      <c r="BC13"/>
      <c r="BD13"/>
      <c r="BE13"/>
      <c r="BF13"/>
      <c r="BG13"/>
      <c r="BH13"/>
      <c r="BI13"/>
      <c r="BJ13"/>
      <c r="BK13"/>
      <c r="BL13"/>
      <c r="BM13"/>
      <c r="BN13"/>
      <c r="BO13"/>
      <c r="BP13"/>
      <c r="BQ13"/>
      <c r="BR13"/>
      <c r="BS13"/>
      <c r="BT13"/>
    </row>
    <row r="14" spans="1:72" ht="60" customHeight="1" x14ac:dyDescent="0.3">
      <c r="A14" s="165"/>
      <c r="B14" s="165"/>
      <c r="C14" s="165"/>
      <c r="D14" s="165"/>
      <c r="E14" s="165"/>
      <c r="F14" s="165"/>
      <c r="G14" s="165"/>
      <c r="H14" s="165"/>
      <c r="I14" s="165"/>
      <c r="J14" s="165"/>
      <c r="K14" s="165"/>
      <c r="L14" s="165"/>
      <c r="M14" s="165"/>
      <c r="N14" s="165"/>
      <c r="O14" s="165"/>
      <c r="P14" s="165"/>
      <c r="AE14" s="229" t="s">
        <v>782</v>
      </c>
      <c r="AF14" s="199">
        <v>0.01</v>
      </c>
      <c r="AG14" s="201">
        <v>100</v>
      </c>
      <c r="AH14" s="219" t="s">
        <v>1141</v>
      </c>
    </row>
    <row r="15" spans="1:72" ht="60" customHeight="1" x14ac:dyDescent="0.3">
      <c r="A15" s="165"/>
      <c r="B15" s="165"/>
      <c r="C15" s="165"/>
      <c r="D15" s="165"/>
      <c r="E15" s="165"/>
      <c r="F15" s="165"/>
      <c r="G15" s="165"/>
      <c r="H15" s="165"/>
      <c r="I15" s="165"/>
      <c r="J15" s="165"/>
      <c r="K15" s="165"/>
      <c r="L15" s="165"/>
      <c r="M15" s="165"/>
      <c r="N15" s="165"/>
      <c r="O15" s="165"/>
      <c r="P15" s="165"/>
      <c r="AE15" s="229" t="s">
        <v>783</v>
      </c>
      <c r="AF15" s="198">
        <v>7.4999999999999997E-3</v>
      </c>
      <c r="AG15" s="201">
        <v>100</v>
      </c>
      <c r="AH15" s="219" t="s">
        <v>1141</v>
      </c>
    </row>
    <row r="16" spans="1:72" ht="60" customHeight="1" x14ac:dyDescent="0.3">
      <c r="A16" s="221"/>
      <c r="B16" s="221"/>
      <c r="C16" s="221"/>
      <c r="D16" s="221"/>
      <c r="E16" s="221"/>
      <c r="F16" s="222"/>
      <c r="G16" s="222"/>
      <c r="H16" s="222"/>
      <c r="I16" s="222"/>
      <c r="J16" s="222"/>
      <c r="K16" s="221"/>
      <c r="L16" s="221"/>
      <c r="M16" s="222"/>
      <c r="N16" s="222"/>
      <c r="O16" s="222"/>
      <c r="P16" s="222"/>
      <c r="Q16" s="171"/>
      <c r="AE16" s="229" t="s">
        <v>784</v>
      </c>
      <c r="AF16" s="198">
        <v>6.4000000000000003E-3</v>
      </c>
      <c r="AG16" s="201">
        <v>150</v>
      </c>
      <c r="AH16" s="219" t="s">
        <v>1141</v>
      </c>
    </row>
    <row r="17" spans="1:72" ht="79.95" customHeight="1" x14ac:dyDescent="0.3">
      <c r="A17" s="350" t="s">
        <v>983</v>
      </c>
      <c r="B17" s="350"/>
      <c r="C17" s="350"/>
      <c r="D17" s="350"/>
      <c r="E17" s="350"/>
      <c r="F17" s="332" t="s">
        <v>996</v>
      </c>
      <c r="G17" s="332"/>
      <c r="H17" s="332"/>
      <c r="I17" s="332"/>
      <c r="J17" s="332"/>
      <c r="K17" s="170"/>
      <c r="L17" s="167"/>
      <c r="M17" s="355" t="s">
        <v>1019</v>
      </c>
      <c r="N17" s="355"/>
      <c r="O17" s="355"/>
      <c r="P17" s="355"/>
      <c r="R17" s="347" t="s">
        <v>1155</v>
      </c>
      <c r="S17" s="348"/>
      <c r="T17" s="348"/>
      <c r="U17" s="348"/>
      <c r="V17" s="348"/>
      <c r="W17" s="348"/>
      <c r="X17" s="348"/>
      <c r="Y17" s="348"/>
      <c r="Z17" s="348"/>
      <c r="AE17" s="229" t="s">
        <v>785</v>
      </c>
      <c r="AF17" s="199">
        <v>1.4999999999999999E-2</v>
      </c>
      <c r="AG17" s="201">
        <v>33.33</v>
      </c>
      <c r="AH17" s="216" t="s">
        <v>1143</v>
      </c>
    </row>
    <row r="18" spans="1:72" ht="79.95" customHeight="1" x14ac:dyDescent="0.3">
      <c r="A18" s="175" t="s">
        <v>1147</v>
      </c>
      <c r="B18" s="331" t="s">
        <v>984</v>
      </c>
      <c r="C18" s="331"/>
      <c r="D18" s="331"/>
      <c r="E18" s="331"/>
      <c r="F18" s="177" t="s">
        <v>391</v>
      </c>
      <c r="G18" s="177" t="s">
        <v>880</v>
      </c>
      <c r="H18" s="177" t="s">
        <v>817</v>
      </c>
      <c r="I18" s="177" t="s">
        <v>384</v>
      </c>
      <c r="J18" s="177" t="s">
        <v>997</v>
      </c>
      <c r="K18" s="167"/>
      <c r="L18" s="167"/>
      <c r="M18" s="180" t="s">
        <v>1021</v>
      </c>
      <c r="N18" s="182" t="s">
        <v>16</v>
      </c>
      <c r="O18" s="182" t="s">
        <v>13</v>
      </c>
      <c r="P18" s="182" t="s">
        <v>15</v>
      </c>
      <c r="R18" s="348"/>
      <c r="S18" s="348"/>
      <c r="T18" s="348"/>
      <c r="U18" s="348"/>
      <c r="V18" s="348"/>
      <c r="W18" s="348"/>
      <c r="X18" s="348"/>
      <c r="Y18" s="348"/>
      <c r="Z18" s="348"/>
      <c r="AE18" s="229" t="s">
        <v>786</v>
      </c>
      <c r="AF18" s="199">
        <v>0.01</v>
      </c>
      <c r="AG18" s="201">
        <v>50</v>
      </c>
      <c r="AH18" s="216" t="s">
        <v>1143</v>
      </c>
    </row>
    <row r="19" spans="1:72" ht="79.95" customHeight="1" x14ac:dyDescent="0.3">
      <c r="A19" s="175" t="s">
        <v>869</v>
      </c>
      <c r="B19" s="331" t="s">
        <v>985</v>
      </c>
      <c r="C19" s="331"/>
      <c r="D19" s="331"/>
      <c r="E19" s="331"/>
      <c r="F19" s="177" t="s">
        <v>809</v>
      </c>
      <c r="G19" s="177" t="s">
        <v>346</v>
      </c>
      <c r="H19" s="177" t="s">
        <v>11</v>
      </c>
      <c r="I19" s="177" t="s">
        <v>1013</v>
      </c>
      <c r="J19" s="177" t="s">
        <v>1014</v>
      </c>
      <c r="K19" s="167"/>
      <c r="L19" s="167"/>
      <c r="M19" s="180" t="s">
        <v>1020</v>
      </c>
      <c r="N19" s="182" t="s">
        <v>961</v>
      </c>
      <c r="O19" s="182" t="s">
        <v>777</v>
      </c>
      <c r="P19" s="182" t="s">
        <v>68</v>
      </c>
      <c r="R19" s="348"/>
      <c r="S19" s="348"/>
      <c r="T19" s="348"/>
      <c r="U19" s="348"/>
      <c r="V19" s="348"/>
      <c r="W19" s="348"/>
      <c r="X19" s="348"/>
      <c r="Y19" s="348"/>
      <c r="Z19" s="348"/>
      <c r="AE19" s="229" t="s">
        <v>395</v>
      </c>
      <c r="AF19" s="199">
        <v>0.01</v>
      </c>
      <c r="AG19" s="201">
        <v>100</v>
      </c>
      <c r="AH19" s="219" t="s">
        <v>1141</v>
      </c>
    </row>
    <row r="20" spans="1:72" ht="79.95" customHeight="1" x14ac:dyDescent="0.3">
      <c r="A20" s="175" t="s">
        <v>0</v>
      </c>
      <c r="B20" s="331" t="s">
        <v>986</v>
      </c>
      <c r="C20" s="331"/>
      <c r="D20" s="331"/>
      <c r="E20" s="331"/>
      <c r="F20" s="177" t="s">
        <v>1015</v>
      </c>
      <c r="G20" s="177" t="s">
        <v>290</v>
      </c>
      <c r="H20" s="177" t="s">
        <v>804</v>
      </c>
      <c r="I20" s="177" t="s">
        <v>290</v>
      </c>
      <c r="J20" s="177" t="s">
        <v>784</v>
      </c>
      <c r="K20" s="167"/>
      <c r="L20" s="167"/>
      <c r="M20" s="180" t="s">
        <v>382</v>
      </c>
      <c r="N20" s="182" t="s">
        <v>1022</v>
      </c>
      <c r="O20" s="182" t="s">
        <v>391</v>
      </c>
      <c r="P20" s="182" t="s">
        <v>392</v>
      </c>
      <c r="R20" s="348"/>
      <c r="S20" s="348"/>
      <c r="T20" s="348"/>
      <c r="U20" s="348"/>
      <c r="V20" s="348"/>
      <c r="W20" s="348"/>
      <c r="X20" s="348"/>
      <c r="Y20" s="348"/>
      <c r="Z20" s="348"/>
      <c r="AE20" s="229" t="s">
        <v>792</v>
      </c>
      <c r="AF20" s="198">
        <v>5.0000000000000001E-3</v>
      </c>
      <c r="AG20" s="201">
        <v>100</v>
      </c>
      <c r="AH20" s="219" t="s">
        <v>1141</v>
      </c>
    </row>
    <row r="21" spans="1:72" ht="79.95" customHeight="1" x14ac:dyDescent="0.3">
      <c r="A21" s="175" t="s">
        <v>987</v>
      </c>
      <c r="B21" s="331" t="s">
        <v>988</v>
      </c>
      <c r="C21" s="331"/>
      <c r="D21" s="331"/>
      <c r="E21" s="331"/>
      <c r="F21" s="177" t="s">
        <v>1016</v>
      </c>
      <c r="G21" s="177" t="s">
        <v>391</v>
      </c>
      <c r="H21" s="177" t="s">
        <v>13</v>
      </c>
      <c r="I21" s="177" t="s">
        <v>1005</v>
      </c>
      <c r="J21" s="177" t="s">
        <v>1017</v>
      </c>
      <c r="K21" s="167"/>
      <c r="L21" s="167"/>
      <c r="M21" s="180" t="s">
        <v>181</v>
      </c>
      <c r="N21" s="182" t="s">
        <v>790</v>
      </c>
      <c r="O21" s="182" t="s">
        <v>997</v>
      </c>
      <c r="P21" s="182" t="s">
        <v>1023</v>
      </c>
      <c r="R21" s="348"/>
      <c r="S21" s="348"/>
      <c r="T21" s="348"/>
      <c r="U21" s="348"/>
      <c r="V21" s="348"/>
      <c r="W21" s="348"/>
      <c r="X21" s="348"/>
      <c r="Y21" s="348"/>
      <c r="Z21" s="348"/>
      <c r="AE21" s="229" t="s">
        <v>795</v>
      </c>
      <c r="AF21" s="198">
        <v>1.6000000000000001E-3</v>
      </c>
      <c r="AG21" s="201">
        <v>150</v>
      </c>
      <c r="AH21" s="219" t="s">
        <v>1141</v>
      </c>
    </row>
    <row r="22" spans="1:72" ht="79.95" customHeight="1" x14ac:dyDescent="0.3">
      <c r="A22" s="175" t="s">
        <v>989</v>
      </c>
      <c r="B22" s="331" t="s">
        <v>990</v>
      </c>
      <c r="C22" s="331"/>
      <c r="D22" s="331"/>
      <c r="E22" s="331"/>
      <c r="F22" s="177" t="s">
        <v>391</v>
      </c>
      <c r="G22" s="177" t="s">
        <v>13</v>
      </c>
      <c r="H22" s="177" t="s">
        <v>65</v>
      </c>
      <c r="I22" s="177" t="s">
        <v>780</v>
      </c>
      <c r="J22" s="177" t="s">
        <v>1017</v>
      </c>
      <c r="K22" s="167"/>
      <c r="L22" s="167"/>
      <c r="M22" s="180" t="s">
        <v>1024</v>
      </c>
      <c r="N22" s="182" t="s">
        <v>793</v>
      </c>
      <c r="O22" s="182" t="s">
        <v>157</v>
      </c>
      <c r="P22" s="182" t="s">
        <v>1025</v>
      </c>
      <c r="V22" s="171"/>
      <c r="AE22" s="229" t="s">
        <v>290</v>
      </c>
      <c r="AF22" s="198">
        <v>2.5000000000000001E-3</v>
      </c>
      <c r="AG22" s="201">
        <v>100</v>
      </c>
      <c r="AH22" s="219" t="s">
        <v>1141</v>
      </c>
    </row>
    <row r="23" spans="1:72" ht="79.95" customHeight="1" x14ac:dyDescent="0.3">
      <c r="A23" s="175" t="s">
        <v>992</v>
      </c>
      <c r="B23" s="331" t="s">
        <v>993</v>
      </c>
      <c r="C23" s="331"/>
      <c r="D23" s="331"/>
      <c r="E23" s="331"/>
      <c r="F23" s="177" t="s">
        <v>817</v>
      </c>
      <c r="G23" s="177" t="s">
        <v>809</v>
      </c>
      <c r="H23" s="177" t="s">
        <v>1018</v>
      </c>
      <c r="I23" s="177" t="s">
        <v>777</v>
      </c>
      <c r="J23" s="177" t="s">
        <v>11</v>
      </c>
      <c r="K23" s="167"/>
      <c r="L23" s="167"/>
      <c r="M23" s="181" t="s">
        <v>182</v>
      </c>
      <c r="N23" s="182" t="s">
        <v>799</v>
      </c>
      <c r="O23" s="182" t="s">
        <v>804</v>
      </c>
      <c r="P23" s="182" t="s">
        <v>1026</v>
      </c>
      <c r="V23" s="171"/>
      <c r="AE23" s="229" t="s">
        <v>796</v>
      </c>
      <c r="AF23" s="198">
        <v>5.0000000000000001E-3</v>
      </c>
      <c r="AG23" s="201">
        <v>100</v>
      </c>
      <c r="AH23" s="219" t="s">
        <v>1141</v>
      </c>
      <c r="AJ23" s="5"/>
      <c r="AK23" s="5"/>
      <c r="AL23" s="5"/>
      <c r="AM23" s="5"/>
      <c r="AN23" s="5"/>
      <c r="AO23" s="5"/>
      <c r="AP23" s="5"/>
      <c r="AQ23" s="5"/>
      <c r="AR23" s="5"/>
      <c r="AS23" s="5"/>
      <c r="AT23" s="5"/>
      <c r="AU23" s="5"/>
      <c r="AV23" s="5"/>
      <c r="AW23" s="5"/>
      <c r="AX23" s="5"/>
      <c r="AY23" s="5"/>
      <c r="AZ23" s="5"/>
      <c r="BA23" s="5"/>
      <c r="BB23" s="5"/>
      <c r="BC23" s="5"/>
      <c r="BD23" s="5"/>
      <c r="BE23" s="5"/>
      <c r="BF23" s="5"/>
      <c r="BG23" s="5"/>
      <c r="BH23" s="5"/>
      <c r="BI23" s="5"/>
      <c r="BJ23" s="5"/>
      <c r="BK23" s="5"/>
      <c r="BL23" s="5"/>
      <c r="BM23" s="5"/>
      <c r="BN23" s="5"/>
      <c r="BO23" s="5"/>
      <c r="BP23" s="5"/>
      <c r="BQ23" s="5"/>
      <c r="BR23" s="5"/>
      <c r="BS23" s="5"/>
      <c r="BT23" s="5"/>
    </row>
    <row r="24" spans="1:72" ht="79.95" customHeight="1" x14ac:dyDescent="0.3">
      <c r="A24" s="175" t="s">
        <v>994</v>
      </c>
      <c r="B24" s="331" t="s">
        <v>995</v>
      </c>
      <c r="C24" s="331"/>
      <c r="D24" s="331"/>
      <c r="E24" s="331"/>
      <c r="F24" s="177" t="s">
        <v>1005</v>
      </c>
      <c r="G24" s="177" t="s">
        <v>1004</v>
      </c>
      <c r="H24" s="177" t="s">
        <v>581</v>
      </c>
      <c r="I24" s="177" t="s">
        <v>806</v>
      </c>
      <c r="J24" s="177" t="s">
        <v>1006</v>
      </c>
      <c r="K24" s="167"/>
      <c r="L24" s="167"/>
      <c r="M24" s="181" t="s">
        <v>1027</v>
      </c>
      <c r="N24" s="182" t="s">
        <v>1028</v>
      </c>
      <c r="O24" s="182" t="s">
        <v>1029</v>
      </c>
      <c r="P24" s="182" t="s">
        <v>1030</v>
      </c>
      <c r="V24" s="171"/>
      <c r="AE24" s="229" t="s">
        <v>803</v>
      </c>
      <c r="AF24" s="199">
        <v>0.01</v>
      </c>
      <c r="AG24" s="201">
        <v>100</v>
      </c>
      <c r="AH24" s="219" t="s">
        <v>1141</v>
      </c>
    </row>
    <row r="25" spans="1:72" ht="79.95" customHeight="1" x14ac:dyDescent="0.3">
      <c r="A25" s="175" t="s">
        <v>1007</v>
      </c>
      <c r="B25" s="334" t="s">
        <v>1061</v>
      </c>
      <c r="C25" s="335"/>
      <c r="D25" s="335"/>
      <c r="E25" s="336"/>
      <c r="F25" s="177" t="s">
        <v>817</v>
      </c>
      <c r="G25" s="177" t="s">
        <v>16</v>
      </c>
      <c r="H25" s="177" t="s">
        <v>15</v>
      </c>
      <c r="I25" s="177" t="s">
        <v>832</v>
      </c>
      <c r="J25" s="177" t="s">
        <v>777</v>
      </c>
      <c r="K25" s="167"/>
      <c r="L25" s="167"/>
      <c r="M25" s="181" t="s">
        <v>254</v>
      </c>
      <c r="N25" s="182" t="s">
        <v>1031</v>
      </c>
      <c r="O25" s="182" t="s">
        <v>1032</v>
      </c>
      <c r="P25" s="182" t="s">
        <v>33</v>
      </c>
      <c r="V25" s="171"/>
      <c r="AE25" s="229" t="s">
        <v>804</v>
      </c>
      <c r="AF25" s="198">
        <v>5.0000000000000001E-3</v>
      </c>
      <c r="AG25" s="201">
        <v>150</v>
      </c>
      <c r="AH25" s="219" t="s">
        <v>1141</v>
      </c>
    </row>
    <row r="26" spans="1:72" ht="79.95" customHeight="1" x14ac:dyDescent="0.3">
      <c r="A26" s="175" t="s">
        <v>872</v>
      </c>
      <c r="B26" s="334" t="s">
        <v>777</v>
      </c>
      <c r="C26" s="335"/>
      <c r="D26" s="335"/>
      <c r="E26" s="336"/>
      <c r="F26" s="177" t="s">
        <v>803</v>
      </c>
      <c r="G26" s="177" t="s">
        <v>395</v>
      </c>
      <c r="H26" s="177" t="s">
        <v>961</v>
      </c>
      <c r="I26" s="337" t="s">
        <v>935</v>
      </c>
      <c r="J26" s="337"/>
      <c r="K26" s="167"/>
      <c r="L26" s="167"/>
      <c r="M26" s="181" t="s">
        <v>1033</v>
      </c>
      <c r="N26" s="182" t="s">
        <v>346</v>
      </c>
      <c r="O26" s="182" t="s">
        <v>810</v>
      </c>
      <c r="P26" s="182" t="s">
        <v>347</v>
      </c>
      <c r="AE26" s="229" t="s">
        <v>221</v>
      </c>
      <c r="AF26" s="198">
        <v>7.4999999999999997E-3</v>
      </c>
      <c r="AG26" s="201">
        <v>100</v>
      </c>
      <c r="AH26" s="219" t="s">
        <v>1141</v>
      </c>
    </row>
    <row r="27" spans="1:72" ht="79.95" customHeight="1" x14ac:dyDescent="0.3">
      <c r="A27" s="175" t="s">
        <v>47</v>
      </c>
      <c r="B27" s="331" t="s">
        <v>1008</v>
      </c>
      <c r="C27" s="331"/>
      <c r="D27" s="331"/>
      <c r="E27" s="331"/>
      <c r="F27" s="177" t="s">
        <v>813</v>
      </c>
      <c r="G27" s="177" t="s">
        <v>16</v>
      </c>
      <c r="H27" s="177" t="s">
        <v>780</v>
      </c>
      <c r="I27" s="177" t="s">
        <v>1000</v>
      </c>
      <c r="J27" s="177" t="s">
        <v>250</v>
      </c>
      <c r="K27" s="167"/>
      <c r="L27" s="167"/>
      <c r="M27" s="181" t="s">
        <v>1034</v>
      </c>
      <c r="N27" s="182" t="s">
        <v>1035</v>
      </c>
      <c r="O27" s="182" t="s">
        <v>1036</v>
      </c>
      <c r="P27" s="182" t="s">
        <v>1037</v>
      </c>
      <c r="AE27" s="229" t="s">
        <v>805</v>
      </c>
      <c r="AF27" s="198">
        <v>7.4999999999999997E-3</v>
      </c>
      <c r="AG27" s="201">
        <v>100</v>
      </c>
      <c r="AH27" s="219" t="s">
        <v>1141</v>
      </c>
    </row>
    <row r="28" spans="1:72" ht="79.95" customHeight="1" x14ac:dyDescent="0.3">
      <c r="A28" s="175" t="s">
        <v>991</v>
      </c>
      <c r="B28" s="331" t="s">
        <v>817</v>
      </c>
      <c r="C28" s="331"/>
      <c r="D28" s="331"/>
      <c r="E28" s="331"/>
      <c r="F28" s="177" t="s">
        <v>132</v>
      </c>
      <c r="G28" s="177" t="s">
        <v>1002</v>
      </c>
      <c r="H28" s="177" t="s">
        <v>814</v>
      </c>
      <c r="I28" s="177" t="s">
        <v>799</v>
      </c>
      <c r="J28" s="177" t="s">
        <v>1003</v>
      </c>
      <c r="K28" s="167"/>
      <c r="L28" s="167"/>
      <c r="M28" s="181" t="s">
        <v>1038</v>
      </c>
      <c r="N28" s="182" t="s">
        <v>554</v>
      </c>
      <c r="O28" s="182" t="s">
        <v>553</v>
      </c>
      <c r="P28" s="182" t="s">
        <v>1039</v>
      </c>
      <c r="AE28" s="229" t="s">
        <v>222</v>
      </c>
      <c r="AF28" s="198">
        <v>5.0000000000000001E-3</v>
      </c>
      <c r="AG28" s="201">
        <v>100</v>
      </c>
      <c r="AH28" s="219" t="s">
        <v>1141</v>
      </c>
    </row>
    <row r="29" spans="1:72" ht="79.95" customHeight="1" x14ac:dyDescent="0.3">
      <c r="A29" s="176" t="s">
        <v>998</v>
      </c>
      <c r="B29" s="333" t="s">
        <v>999</v>
      </c>
      <c r="C29" s="333"/>
      <c r="D29" s="333"/>
      <c r="E29" s="333"/>
      <c r="F29" s="178" t="s">
        <v>1009</v>
      </c>
      <c r="G29" s="178" t="s">
        <v>1011</v>
      </c>
      <c r="H29" s="178" t="s">
        <v>1010</v>
      </c>
      <c r="I29" s="178" t="s">
        <v>346</v>
      </c>
      <c r="J29" s="178" t="s">
        <v>810</v>
      </c>
      <c r="K29" s="171"/>
      <c r="L29" s="167"/>
      <c r="M29" s="181" t="s">
        <v>566</v>
      </c>
      <c r="N29" s="182" t="s">
        <v>561</v>
      </c>
      <c r="O29" s="182" t="s">
        <v>1040</v>
      </c>
      <c r="P29" s="182" t="s">
        <v>1041</v>
      </c>
      <c r="AE29" s="229" t="s">
        <v>223</v>
      </c>
      <c r="AF29" s="198">
        <v>5.0000000000000001E-3</v>
      </c>
      <c r="AG29" s="201">
        <v>100</v>
      </c>
      <c r="AH29" s="219" t="s">
        <v>1141</v>
      </c>
    </row>
    <row r="30" spans="1:72" ht="79.95" customHeight="1" x14ac:dyDescent="0.3">
      <c r="A30" s="172" t="s">
        <v>490</v>
      </c>
      <c r="B30" s="339" t="s">
        <v>1012</v>
      </c>
      <c r="C30" s="340"/>
      <c r="D30" s="340"/>
      <c r="E30" s="341"/>
      <c r="F30" s="179" t="s">
        <v>565</v>
      </c>
      <c r="G30" s="342" t="s">
        <v>935</v>
      </c>
      <c r="H30" s="342"/>
      <c r="I30" s="342"/>
      <c r="J30" s="342"/>
      <c r="K30" s="165"/>
      <c r="L30" s="165"/>
      <c r="M30" s="181" t="s">
        <v>557</v>
      </c>
      <c r="N30" s="182" t="s">
        <v>1042</v>
      </c>
      <c r="O30" s="182" t="s">
        <v>568</v>
      </c>
      <c r="P30" s="182" t="s">
        <v>1043</v>
      </c>
      <c r="AE30" s="229" t="s">
        <v>806</v>
      </c>
      <c r="AF30" s="199">
        <v>0.01</v>
      </c>
      <c r="AG30" s="201">
        <v>100</v>
      </c>
      <c r="AH30" s="219" t="s">
        <v>1141</v>
      </c>
    </row>
    <row r="31" spans="1:72" ht="79.95" customHeight="1" x14ac:dyDescent="0.3">
      <c r="A31" s="169"/>
      <c r="B31" s="338"/>
      <c r="C31" s="338"/>
      <c r="D31" s="338"/>
      <c r="E31" s="338"/>
      <c r="F31" s="338"/>
      <c r="I31" s="5"/>
      <c r="J31" s="5"/>
      <c r="K31" s="5"/>
      <c r="L31" s="5"/>
      <c r="M31" s="181" t="s">
        <v>558</v>
      </c>
      <c r="N31" s="183" t="s">
        <v>830</v>
      </c>
      <c r="O31" s="183" t="s">
        <v>570</v>
      </c>
      <c r="P31" s="183" t="s">
        <v>1045</v>
      </c>
      <c r="Q31" s="5"/>
      <c r="R31" s="230"/>
      <c r="S31" s="230"/>
      <c r="T31" s="230"/>
      <c r="U31" s="230"/>
      <c r="V31" s="230"/>
      <c r="W31" s="230"/>
      <c r="X31" s="230"/>
      <c r="Y31" s="230"/>
      <c r="Z31" s="230"/>
      <c r="AE31" s="229" t="s">
        <v>807</v>
      </c>
      <c r="AF31" s="198">
        <v>2E-3</v>
      </c>
      <c r="AG31" s="201">
        <v>100</v>
      </c>
      <c r="AH31" s="219" t="s">
        <v>1141</v>
      </c>
    </row>
    <row r="32" spans="1:72" ht="79.95" customHeight="1" x14ac:dyDescent="0.3">
      <c r="A32" s="215"/>
      <c r="B32" s="51"/>
      <c r="C32" s="51"/>
      <c r="D32" s="51"/>
      <c r="E32" s="51"/>
      <c r="F32" s="51"/>
      <c r="M32" s="181" t="s">
        <v>559</v>
      </c>
      <c r="N32" s="183" t="s">
        <v>1046</v>
      </c>
      <c r="O32" s="183" t="s">
        <v>577</v>
      </c>
      <c r="P32" s="183" t="s">
        <v>33</v>
      </c>
      <c r="R32" s="230"/>
      <c r="S32" s="230"/>
      <c r="T32" s="230"/>
      <c r="U32" s="230"/>
      <c r="V32" s="230"/>
      <c r="W32" s="230"/>
      <c r="X32" s="230"/>
      <c r="Y32" s="230"/>
      <c r="Z32" s="230"/>
      <c r="AE32" s="229" t="s">
        <v>808</v>
      </c>
      <c r="AF32" s="198">
        <v>3.3E-3</v>
      </c>
      <c r="AG32" s="201">
        <v>150</v>
      </c>
      <c r="AH32" s="219" t="s">
        <v>1141</v>
      </c>
    </row>
    <row r="33" spans="1:72" ht="79.95" customHeight="1" x14ac:dyDescent="0.3">
      <c r="A33" s="330"/>
      <c r="B33" s="330"/>
      <c r="C33" s="330"/>
      <c r="D33" s="330"/>
      <c r="E33" s="330"/>
      <c r="F33" s="330"/>
      <c r="G33" s="330"/>
      <c r="H33" s="330"/>
      <c r="I33" s="330"/>
      <c r="J33" s="330"/>
      <c r="M33" s="181" t="s">
        <v>1044</v>
      </c>
      <c r="N33" s="183" t="s">
        <v>1047</v>
      </c>
      <c r="O33" s="183" t="s">
        <v>837</v>
      </c>
      <c r="P33" s="183" t="s">
        <v>581</v>
      </c>
      <c r="AE33" s="229" t="s">
        <v>842</v>
      </c>
      <c r="AF33" s="198">
        <v>7.0000000000000001E-3</v>
      </c>
      <c r="AG33" s="201">
        <v>100</v>
      </c>
      <c r="AH33" s="219" t="s">
        <v>1141</v>
      </c>
    </row>
    <row r="34" spans="1:72" ht="79.95" customHeight="1" x14ac:dyDescent="0.3">
      <c r="A34" s="328"/>
      <c r="B34" s="328"/>
      <c r="C34" s="328"/>
      <c r="D34" s="328"/>
      <c r="E34" s="328"/>
      <c r="F34" s="329"/>
      <c r="G34" s="329"/>
      <c r="H34" s="329"/>
      <c r="I34" s="329"/>
      <c r="J34" s="329"/>
      <c r="AE34" s="229" t="s">
        <v>821</v>
      </c>
      <c r="AF34" s="199">
        <v>0.01</v>
      </c>
      <c r="AG34" s="201">
        <v>100</v>
      </c>
      <c r="AH34" s="219" t="s">
        <v>1141</v>
      </c>
    </row>
    <row r="35" spans="1:72" ht="79.95" customHeight="1" x14ac:dyDescent="0.3">
      <c r="J35" s="215"/>
      <c r="K35" s="215"/>
      <c r="L35" s="215"/>
      <c r="M35" s="215"/>
      <c r="N35" s="215"/>
      <c r="O35" s="215"/>
      <c r="P35" s="215"/>
      <c r="W35" s="5"/>
      <c r="X35" s="5"/>
      <c r="Y35" s="5"/>
      <c r="Z35" s="5"/>
      <c r="AE35" s="229" t="s">
        <v>823</v>
      </c>
      <c r="AF35" s="198">
        <v>2.5000000000000001E-3</v>
      </c>
      <c r="AG35" s="201">
        <v>100</v>
      </c>
      <c r="AH35" s="219" t="s">
        <v>1141</v>
      </c>
    </row>
    <row r="36" spans="1:72" ht="79.95" customHeight="1" x14ac:dyDescent="0.3">
      <c r="J36" s="215"/>
      <c r="K36" s="215"/>
      <c r="L36" s="215"/>
      <c r="M36" s="215"/>
      <c r="N36" s="215"/>
      <c r="O36" s="215"/>
      <c r="P36" s="215"/>
      <c r="AE36" s="229" t="s">
        <v>824</v>
      </c>
      <c r="AF36" s="199">
        <v>1.2500000000000001E-2</v>
      </c>
      <c r="AG36" s="201">
        <v>2000</v>
      </c>
      <c r="AH36" s="219" t="s">
        <v>1141</v>
      </c>
    </row>
    <row r="37" spans="1:72" ht="79.95" customHeight="1" x14ac:dyDescent="0.3">
      <c r="J37" s="215"/>
      <c r="K37" s="215"/>
      <c r="L37" s="215"/>
      <c r="M37" s="215"/>
      <c r="N37" s="215"/>
      <c r="O37" s="215"/>
      <c r="P37" s="215"/>
      <c r="AE37" s="229" t="s">
        <v>826</v>
      </c>
      <c r="AF37" s="198">
        <v>5.0000000000000001E-3</v>
      </c>
      <c r="AG37" s="201">
        <v>150</v>
      </c>
      <c r="AH37" s="219" t="s">
        <v>1141</v>
      </c>
    </row>
    <row r="38" spans="1:72" ht="79.95" customHeight="1" x14ac:dyDescent="0.3">
      <c r="J38" s="215"/>
      <c r="K38" s="215"/>
      <c r="L38" s="215"/>
      <c r="M38" s="215"/>
      <c r="N38" s="215"/>
      <c r="O38" s="215"/>
      <c r="P38" s="215"/>
      <c r="AE38" s="229" t="s">
        <v>827</v>
      </c>
      <c r="AF38" s="198">
        <v>2.7000000000000001E-3</v>
      </c>
      <c r="AG38" s="201">
        <v>150</v>
      </c>
      <c r="AH38" s="219" t="s">
        <v>1141</v>
      </c>
    </row>
    <row r="39" spans="1:72" ht="79.95" customHeight="1" x14ac:dyDescent="0.3">
      <c r="J39" s="215"/>
      <c r="K39" s="215"/>
      <c r="L39" s="215"/>
      <c r="M39" s="215"/>
      <c r="N39" s="215"/>
      <c r="O39" s="215"/>
      <c r="P39" s="215"/>
      <c r="AE39" s="229" t="s">
        <v>834</v>
      </c>
      <c r="AF39" s="198">
        <v>1.6000000000000001E-3</v>
      </c>
      <c r="AG39" s="201">
        <v>100</v>
      </c>
      <c r="AH39" s="219" t="s">
        <v>1141</v>
      </c>
    </row>
    <row r="40" spans="1:72" s="5" customFormat="1" ht="79.95" customHeight="1" x14ac:dyDescent="0.3">
      <c r="A40" s="215"/>
      <c r="B40" s="215"/>
      <c r="C40" s="215"/>
      <c r="D40" s="215"/>
      <c r="E40" s="215"/>
      <c r="F40" s="215"/>
      <c r="G40" s="215"/>
      <c r="H40" s="215"/>
      <c r="I40" s="215"/>
      <c r="J40" s="215"/>
      <c r="K40" s="215"/>
      <c r="L40" s="215"/>
      <c r="M40" s="215"/>
      <c r="N40" s="215"/>
      <c r="O40" s="215"/>
      <c r="P40" s="215"/>
      <c r="Q40"/>
      <c r="R40"/>
      <c r="S40"/>
      <c r="T40"/>
      <c r="U40"/>
      <c r="W40"/>
      <c r="X40"/>
      <c r="Y40"/>
      <c r="Z40"/>
      <c r="AE40" s="229" t="s">
        <v>836</v>
      </c>
      <c r="AF40" s="199">
        <v>0.01</v>
      </c>
      <c r="AG40" s="201">
        <v>50</v>
      </c>
      <c r="AH40" s="217" t="s">
        <v>1144</v>
      </c>
      <c r="AJ40"/>
      <c r="AK40"/>
      <c r="AL40"/>
      <c r="AM40"/>
      <c r="AN40"/>
      <c r="AO40"/>
      <c r="AP40"/>
      <c r="AQ40"/>
      <c r="AR40"/>
      <c r="AS40"/>
      <c r="AT40"/>
      <c r="AU40"/>
      <c r="AV40"/>
      <c r="AW40"/>
      <c r="AX40"/>
      <c r="AY40"/>
      <c r="AZ40"/>
      <c r="BA40"/>
      <c r="BB40"/>
      <c r="BC40"/>
      <c r="BD40"/>
      <c r="BE40"/>
      <c r="BF40"/>
      <c r="BG40"/>
      <c r="BH40"/>
      <c r="BI40"/>
      <c r="BJ40"/>
      <c r="BK40"/>
      <c r="BL40"/>
      <c r="BM40"/>
      <c r="BN40"/>
      <c r="BO40"/>
      <c r="BP40"/>
      <c r="BQ40"/>
      <c r="BR40"/>
      <c r="BS40"/>
      <c r="BT40"/>
    </row>
    <row r="41" spans="1:72" ht="40.049999999999997" customHeight="1" x14ac:dyDescent="0.3">
      <c r="A41" s="215"/>
      <c r="B41" s="215"/>
      <c r="C41" s="215"/>
      <c r="D41" s="215"/>
      <c r="E41" s="215"/>
      <c r="F41" s="215"/>
      <c r="G41" s="215"/>
      <c r="H41" s="215"/>
      <c r="I41" s="215"/>
      <c r="J41" s="215"/>
      <c r="K41" s="215"/>
      <c r="L41" s="215"/>
      <c r="M41" s="215"/>
      <c r="N41" s="215"/>
      <c r="O41" s="215"/>
      <c r="P41" s="215"/>
      <c r="AE41" s="229" t="s">
        <v>837</v>
      </c>
      <c r="AF41" s="198">
        <v>4.0000000000000001E-3</v>
      </c>
      <c r="AG41" s="201">
        <v>100</v>
      </c>
      <c r="AH41" s="218" t="s">
        <v>1145</v>
      </c>
    </row>
    <row r="42" spans="1:72" ht="49.95" customHeight="1" x14ac:dyDescent="0.3">
      <c r="A42" s="215"/>
      <c r="B42" s="215"/>
      <c r="C42" s="215"/>
      <c r="D42" s="215"/>
      <c r="E42" s="215"/>
      <c r="F42" s="215"/>
      <c r="G42" s="215"/>
      <c r="H42" s="215"/>
      <c r="I42" s="215"/>
      <c r="J42" s="215"/>
      <c r="K42" s="215"/>
      <c r="L42" s="215"/>
      <c r="M42" s="215"/>
      <c r="N42" s="215"/>
      <c r="O42" s="215"/>
      <c r="P42" s="215"/>
      <c r="AE42" s="229" t="s">
        <v>1067</v>
      </c>
      <c r="AF42" s="198">
        <v>5.0000000000000001E-3</v>
      </c>
      <c r="AG42" s="201">
        <v>2000</v>
      </c>
      <c r="AH42" s="219" t="s">
        <v>1141</v>
      </c>
    </row>
    <row r="43" spans="1:72" ht="49.95" customHeight="1" x14ac:dyDescent="0.3">
      <c r="A43" s="50"/>
      <c r="B43" s="50"/>
      <c r="C43" s="50"/>
      <c r="D43" s="50"/>
      <c r="E43" s="50"/>
      <c r="F43" s="51"/>
      <c r="G43" s="51"/>
      <c r="H43" s="51"/>
      <c r="I43" s="51"/>
      <c r="J43" s="51"/>
    </row>
    <row r="44" spans="1:72" ht="49.95" customHeight="1" x14ac:dyDescent="0.3">
      <c r="A44" s="328"/>
      <c r="B44" s="328"/>
      <c r="C44" s="328"/>
      <c r="D44" s="328"/>
      <c r="E44" s="328"/>
      <c r="F44" s="329"/>
      <c r="G44" s="329"/>
      <c r="H44" s="329"/>
      <c r="I44" s="329"/>
      <c r="J44" s="329"/>
    </row>
    <row r="45" spans="1:72" ht="49.95" customHeight="1" x14ac:dyDescent="0.3">
      <c r="A45" s="328"/>
      <c r="B45" s="328"/>
      <c r="C45" s="328"/>
      <c r="D45" s="328"/>
      <c r="E45" s="328"/>
      <c r="F45" s="329"/>
      <c r="G45" s="329"/>
      <c r="H45" s="329"/>
      <c r="I45" s="329"/>
      <c r="J45" s="329"/>
    </row>
    <row r="46" spans="1:72" ht="49.95" customHeight="1" x14ac:dyDescent="0.3">
      <c r="A46" s="328"/>
      <c r="B46" s="328"/>
      <c r="C46" s="328"/>
      <c r="D46" s="328"/>
      <c r="E46" s="328"/>
      <c r="F46" s="329"/>
      <c r="G46" s="329"/>
      <c r="H46" s="329"/>
      <c r="I46" s="329"/>
      <c r="J46" s="329"/>
    </row>
    <row r="47" spans="1:72" ht="49.95" customHeight="1" x14ac:dyDescent="0.3">
      <c r="A47" s="328"/>
      <c r="B47" s="328"/>
      <c r="C47" s="328"/>
      <c r="D47" s="328"/>
      <c r="E47" s="328"/>
      <c r="F47" s="329"/>
      <c r="G47" s="329"/>
      <c r="H47" s="329"/>
      <c r="I47" s="329"/>
      <c r="J47" s="329"/>
    </row>
    <row r="48" spans="1:72" ht="49.95" customHeight="1" x14ac:dyDescent="0.3">
      <c r="A48" s="328"/>
      <c r="B48" s="328"/>
      <c r="C48" s="328"/>
      <c r="D48" s="328"/>
      <c r="E48" s="328"/>
      <c r="F48" s="329"/>
      <c r="G48" s="329"/>
      <c r="H48" s="329"/>
      <c r="I48" s="329"/>
      <c r="J48" s="329"/>
    </row>
    <row r="49" spans="1:10" ht="49.95" customHeight="1" x14ac:dyDescent="0.3">
      <c r="A49" s="328"/>
      <c r="B49" s="328"/>
      <c r="C49" s="328"/>
      <c r="D49" s="328"/>
      <c r="E49" s="328"/>
      <c r="F49" s="329"/>
      <c r="G49" s="329"/>
      <c r="H49" s="329"/>
      <c r="I49" s="329"/>
      <c r="J49" s="329"/>
    </row>
    <row r="50" spans="1:10" ht="49.95" customHeight="1" x14ac:dyDescent="0.3">
      <c r="A50" s="328"/>
      <c r="B50" s="328"/>
      <c r="C50" s="328"/>
      <c r="D50" s="328"/>
      <c r="E50" s="328"/>
      <c r="F50" s="329"/>
      <c r="G50" s="329"/>
      <c r="H50" s="329"/>
      <c r="I50" s="329"/>
      <c r="J50" s="329"/>
    </row>
    <row r="51" spans="1:10" ht="49.8" customHeight="1" x14ac:dyDescent="0.3">
      <c r="A51" s="328"/>
      <c r="B51" s="328"/>
      <c r="C51" s="328"/>
      <c r="D51" s="328"/>
      <c r="E51" s="328"/>
      <c r="F51" s="329"/>
      <c r="G51" s="329"/>
      <c r="H51" s="329"/>
      <c r="I51" s="329"/>
      <c r="J51" s="329"/>
    </row>
    <row r="52" spans="1:10" ht="49.95" customHeight="1" x14ac:dyDescent="0.3">
      <c r="A52" s="215"/>
      <c r="B52" s="51"/>
      <c r="C52" s="51"/>
      <c r="D52" s="51"/>
      <c r="E52" s="51"/>
      <c r="F52" s="51"/>
    </row>
    <row r="53" spans="1:10" ht="49.95" customHeight="1" x14ac:dyDescent="0.3"/>
    <row r="54" spans="1:10" ht="49.95" customHeight="1" x14ac:dyDescent="0.3"/>
    <row r="55" spans="1:10" ht="49.95" customHeight="1" x14ac:dyDescent="0.3"/>
    <row r="56" spans="1:10" ht="49.95" customHeight="1" x14ac:dyDescent="0.3"/>
    <row r="57" spans="1:10" ht="49.95" customHeight="1" x14ac:dyDescent="0.3"/>
    <row r="58" spans="1:10" ht="49.95" customHeight="1" x14ac:dyDescent="0.3"/>
    <row r="59" spans="1:10" ht="49.95" customHeight="1" x14ac:dyDescent="0.3"/>
    <row r="60" spans="1:10" ht="49.95" customHeight="1" x14ac:dyDescent="0.3"/>
    <row r="61" spans="1:10" ht="49.95" customHeight="1" x14ac:dyDescent="0.3"/>
    <row r="62" spans="1:10" ht="49.95" customHeight="1" x14ac:dyDescent="0.3"/>
    <row r="66" ht="25.05" customHeight="1" x14ac:dyDescent="0.3"/>
    <row r="68" ht="24" customHeight="1" x14ac:dyDescent="0.3"/>
    <row r="69" ht="24" customHeight="1" x14ac:dyDescent="0.3"/>
    <row r="70" ht="24" customHeight="1" x14ac:dyDescent="0.3"/>
    <row r="71" ht="24" customHeight="1" x14ac:dyDescent="0.3"/>
    <row r="72" ht="24" customHeight="1" x14ac:dyDescent="0.3"/>
    <row r="73" ht="24" customHeight="1" x14ac:dyDescent="0.3"/>
    <row r="74" ht="24" customHeight="1" x14ac:dyDescent="0.3"/>
    <row r="75" ht="24" customHeight="1" x14ac:dyDescent="0.3"/>
    <row r="76" ht="24" customHeight="1" x14ac:dyDescent="0.3"/>
    <row r="77" ht="24" customHeight="1" x14ac:dyDescent="0.3"/>
    <row r="78" ht="24" customHeight="1" x14ac:dyDescent="0.3"/>
    <row r="79" ht="24" customHeight="1" x14ac:dyDescent="0.3"/>
    <row r="80" ht="24" customHeight="1" x14ac:dyDescent="0.3"/>
    <row r="81" ht="24" customHeight="1" x14ac:dyDescent="0.3"/>
    <row r="82" ht="24" customHeight="1" x14ac:dyDescent="0.3"/>
    <row r="83" ht="24" customHeight="1" x14ac:dyDescent="0.3"/>
    <row r="84" ht="24" customHeight="1" x14ac:dyDescent="0.3"/>
    <row r="85" ht="24" customHeight="1" x14ac:dyDescent="0.3"/>
    <row r="86" ht="24" customHeight="1" x14ac:dyDescent="0.3"/>
    <row r="87" ht="24" customHeight="1" x14ac:dyDescent="0.3"/>
    <row r="88" ht="22.05" customHeight="1" x14ac:dyDescent="0.3"/>
  </sheetData>
  <mergeCells count="46">
    <mergeCell ref="AE6:AH6"/>
    <mergeCell ref="A1:AH2"/>
    <mergeCell ref="AE3:AH5"/>
    <mergeCell ref="X3:AD5"/>
    <mergeCell ref="R17:Z21"/>
    <mergeCell ref="A3:V5"/>
    <mergeCell ref="A17:E17"/>
    <mergeCell ref="B18:E18"/>
    <mergeCell ref="B19:E19"/>
    <mergeCell ref="B20:E20"/>
    <mergeCell ref="B21:E21"/>
    <mergeCell ref="X6:AB6"/>
    <mergeCell ref="A6:V6"/>
    <mergeCell ref="M17:P17"/>
    <mergeCell ref="A33:J33"/>
    <mergeCell ref="A34:E34"/>
    <mergeCell ref="F34:J34"/>
    <mergeCell ref="B27:E27"/>
    <mergeCell ref="F17:J17"/>
    <mergeCell ref="B29:E29"/>
    <mergeCell ref="B25:E25"/>
    <mergeCell ref="B26:E26"/>
    <mergeCell ref="I26:J26"/>
    <mergeCell ref="B31:F31"/>
    <mergeCell ref="B22:E22"/>
    <mergeCell ref="B28:E28"/>
    <mergeCell ref="B23:E23"/>
    <mergeCell ref="B30:E30"/>
    <mergeCell ref="G30:J30"/>
    <mergeCell ref="B24:E24"/>
    <mergeCell ref="A47:E47"/>
    <mergeCell ref="A48:E48"/>
    <mergeCell ref="F44:J44"/>
    <mergeCell ref="F45:J45"/>
    <mergeCell ref="F46:J46"/>
    <mergeCell ref="F47:J47"/>
    <mergeCell ref="A44:E44"/>
    <mergeCell ref="A45:E45"/>
    <mergeCell ref="A46:E46"/>
    <mergeCell ref="A49:E49"/>
    <mergeCell ref="A50:E50"/>
    <mergeCell ref="A51:E51"/>
    <mergeCell ref="F48:J48"/>
    <mergeCell ref="F49:J49"/>
    <mergeCell ref="F50:J50"/>
    <mergeCell ref="F51:J5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P69"/>
  <sheetViews>
    <sheetView showGridLines="0" topLeftCell="A10" zoomScale="51" zoomScaleNormal="145" workbookViewId="0">
      <selection activeCell="O13" sqref="O13"/>
    </sheetView>
  </sheetViews>
  <sheetFormatPr defaultRowHeight="14.4" x14ac:dyDescent="0.3"/>
  <cols>
    <col min="1" max="1" width="3.77734375" customWidth="1"/>
    <col min="2" max="2" width="28.33203125" customWidth="1"/>
    <col min="3" max="3" width="14.33203125" customWidth="1"/>
    <col min="4" max="4" width="2.5546875" customWidth="1"/>
    <col min="5" max="5" width="28.5546875" style="133" customWidth="1"/>
    <col min="6" max="6" width="15.21875" customWidth="1"/>
    <col min="7" max="7" width="2.5546875" customWidth="1"/>
    <col min="8" max="8" width="27.5546875" customWidth="1"/>
    <col min="9" max="9" width="17.109375" customWidth="1"/>
    <col min="10" max="10" width="3.21875" customWidth="1"/>
    <col min="11" max="11" width="27.33203125" customWidth="1"/>
    <col min="12" max="12" width="22.21875" customWidth="1"/>
    <col min="13" max="13" width="2.6640625" customWidth="1"/>
    <col min="14" max="14" width="36.5546875" customWidth="1"/>
    <col min="15" max="15" width="27.44140625" customWidth="1"/>
    <col min="16" max="16" width="2.5546875" customWidth="1"/>
    <col min="17" max="17" width="2.6640625" customWidth="1"/>
    <col min="18" max="18" width="26.21875" customWidth="1"/>
    <col min="19" max="19" width="16.77734375" customWidth="1"/>
    <col min="20" max="20" width="3.109375" customWidth="1"/>
    <col min="21" max="21" width="27.5546875" customWidth="1"/>
    <col min="22" max="22" width="18.88671875" customWidth="1"/>
    <col min="23" max="23" width="30.5546875" customWidth="1"/>
    <col min="24" max="24" width="17.21875" customWidth="1"/>
    <col min="25" max="25" width="3.109375" customWidth="1"/>
  </cols>
  <sheetData>
    <row r="1" spans="1:13" ht="25.05" customHeight="1" x14ac:dyDescent="0.3">
      <c r="A1" s="357"/>
      <c r="B1" s="358" t="s">
        <v>1113</v>
      </c>
      <c r="C1" s="359"/>
      <c r="D1" s="359"/>
      <c r="E1" s="359"/>
      <c r="F1" s="359"/>
      <c r="G1" s="359"/>
      <c r="H1" s="359"/>
      <c r="I1" s="359"/>
      <c r="J1" s="359"/>
      <c r="K1" s="359"/>
      <c r="L1" s="359"/>
      <c r="M1" s="359"/>
    </row>
    <row r="2" spans="1:13" ht="15.6" x14ac:dyDescent="0.3">
      <c r="A2" s="357"/>
      <c r="B2" s="360" t="s">
        <v>813</v>
      </c>
      <c r="C2" s="360"/>
      <c r="D2" s="363"/>
      <c r="E2" s="360" t="s">
        <v>906</v>
      </c>
      <c r="F2" s="360"/>
      <c r="G2" s="363"/>
      <c r="H2" s="361" t="s">
        <v>911</v>
      </c>
      <c r="I2" s="361"/>
      <c r="J2" s="363"/>
      <c r="K2" s="361" t="s">
        <v>912</v>
      </c>
      <c r="L2" s="361"/>
      <c r="M2" s="365"/>
    </row>
    <row r="3" spans="1:13" x14ac:dyDescent="0.3">
      <c r="A3" s="357"/>
      <c r="B3" s="139" t="s">
        <v>894</v>
      </c>
      <c r="C3" s="140">
        <v>400000</v>
      </c>
      <c r="D3" s="364"/>
      <c r="E3" s="141" t="s">
        <v>894</v>
      </c>
      <c r="F3" s="140">
        <v>72000</v>
      </c>
      <c r="G3" s="364"/>
      <c r="H3" s="141" t="s">
        <v>894</v>
      </c>
      <c r="I3" s="135">
        <v>72000</v>
      </c>
      <c r="J3" s="364"/>
      <c r="K3" s="141" t="s">
        <v>894</v>
      </c>
      <c r="L3" s="137">
        <v>240000</v>
      </c>
      <c r="M3" s="365"/>
    </row>
    <row r="4" spans="1:13" x14ac:dyDescent="0.3">
      <c r="A4" s="357"/>
      <c r="B4" s="139" t="s">
        <v>895</v>
      </c>
      <c r="C4" s="139">
        <v>2</v>
      </c>
      <c r="D4" s="364"/>
      <c r="E4" s="141" t="s">
        <v>895</v>
      </c>
      <c r="F4" s="139">
        <v>2</v>
      </c>
      <c r="G4" s="364"/>
      <c r="H4" s="141" t="s">
        <v>895</v>
      </c>
      <c r="I4" s="136">
        <v>2</v>
      </c>
      <c r="J4" s="364"/>
      <c r="K4" s="141" t="s">
        <v>895</v>
      </c>
      <c r="L4" s="141">
        <v>2</v>
      </c>
      <c r="M4" s="365"/>
    </row>
    <row r="5" spans="1:13" x14ac:dyDescent="0.3">
      <c r="A5" s="357"/>
      <c r="B5" s="139" t="s">
        <v>896</v>
      </c>
      <c r="C5" s="148">
        <f>(C3/100)*C4</f>
        <v>8000</v>
      </c>
      <c r="D5" s="364"/>
      <c r="E5" s="141" t="s">
        <v>896</v>
      </c>
      <c r="F5" s="148">
        <f>(F3/100)*F4</f>
        <v>1440</v>
      </c>
      <c r="G5" s="364"/>
      <c r="H5" s="141" t="s">
        <v>896</v>
      </c>
      <c r="I5" s="151">
        <f>(I3/100)*I4</f>
        <v>1440</v>
      </c>
      <c r="J5" s="364"/>
      <c r="K5" s="141" t="s">
        <v>896</v>
      </c>
      <c r="L5" s="150">
        <f>(L3/100)*L4</f>
        <v>4800</v>
      </c>
      <c r="M5" s="365"/>
    </row>
    <row r="6" spans="1:13" x14ac:dyDescent="0.3">
      <c r="A6" s="357"/>
      <c r="B6" s="139" t="s">
        <v>904</v>
      </c>
      <c r="C6" s="139">
        <v>12000</v>
      </c>
      <c r="D6" s="364"/>
      <c r="E6" s="141" t="s">
        <v>904</v>
      </c>
      <c r="F6" s="139">
        <v>6000</v>
      </c>
      <c r="G6" s="364"/>
      <c r="H6" s="141" t="s">
        <v>904</v>
      </c>
      <c r="I6" s="136">
        <v>6000</v>
      </c>
      <c r="J6" s="364"/>
      <c r="K6" s="141" t="s">
        <v>904</v>
      </c>
      <c r="L6" s="141">
        <v>6000</v>
      </c>
      <c r="M6" s="365"/>
    </row>
    <row r="7" spans="1:13" x14ac:dyDescent="0.3">
      <c r="A7" s="357"/>
      <c r="B7" s="139" t="s">
        <v>897</v>
      </c>
      <c r="C7" s="139">
        <v>40000</v>
      </c>
      <c r="D7" s="364"/>
      <c r="E7" s="141" t="s">
        <v>897</v>
      </c>
      <c r="F7" s="139">
        <v>12000</v>
      </c>
      <c r="G7" s="364"/>
      <c r="H7" s="141" t="s">
        <v>897</v>
      </c>
      <c r="I7" s="136">
        <v>12000</v>
      </c>
      <c r="J7" s="364"/>
      <c r="K7" s="141" t="s">
        <v>897</v>
      </c>
      <c r="L7" s="141">
        <v>24000</v>
      </c>
      <c r="M7" s="365"/>
    </row>
    <row r="8" spans="1:13" x14ac:dyDescent="0.3">
      <c r="A8" s="357"/>
      <c r="B8" s="139" t="s">
        <v>922</v>
      </c>
      <c r="C8" s="148">
        <f xml:space="preserve"> C5+C6+C7</f>
        <v>60000</v>
      </c>
      <c r="D8" s="364"/>
      <c r="E8" s="141" t="s">
        <v>922</v>
      </c>
      <c r="F8" s="148">
        <f xml:space="preserve"> F5+F6+F7</f>
        <v>19440</v>
      </c>
      <c r="G8" s="364"/>
      <c r="H8" s="141" t="s">
        <v>922</v>
      </c>
      <c r="I8" s="151">
        <f xml:space="preserve"> I5+I6+I7</f>
        <v>19440</v>
      </c>
      <c r="J8" s="364"/>
      <c r="K8" s="141" t="s">
        <v>922</v>
      </c>
      <c r="L8" s="150">
        <f xml:space="preserve"> I5+I6+I7</f>
        <v>19440</v>
      </c>
      <c r="M8" s="365"/>
    </row>
    <row r="9" spans="1:13" x14ac:dyDescent="0.3">
      <c r="A9" s="357"/>
      <c r="B9" s="139" t="s">
        <v>898</v>
      </c>
      <c r="C9" s="149">
        <v>0.8</v>
      </c>
      <c r="D9" s="364"/>
      <c r="E9" s="141" t="s">
        <v>898</v>
      </c>
      <c r="F9" s="136">
        <v>0.6</v>
      </c>
      <c r="G9" s="364"/>
      <c r="H9" s="141" t="s">
        <v>898</v>
      </c>
      <c r="I9" s="136">
        <v>0.6</v>
      </c>
      <c r="J9" s="364"/>
      <c r="K9" s="141" t="s">
        <v>898</v>
      </c>
      <c r="L9" s="141" t="s">
        <v>899</v>
      </c>
      <c r="M9" s="365"/>
    </row>
    <row r="10" spans="1:13" x14ac:dyDescent="0.3">
      <c r="A10" s="357"/>
      <c r="B10" s="139" t="s">
        <v>900</v>
      </c>
      <c r="C10" s="140">
        <f>C9*C8</f>
        <v>48000</v>
      </c>
      <c r="D10" s="364"/>
      <c r="E10" s="141" t="s">
        <v>900</v>
      </c>
      <c r="F10" s="140">
        <f>F9*F8</f>
        <v>11664</v>
      </c>
      <c r="G10" s="364"/>
      <c r="H10" s="141" t="s">
        <v>900</v>
      </c>
      <c r="I10" s="135">
        <f>I9*I8</f>
        <v>11664</v>
      </c>
      <c r="J10" s="364"/>
      <c r="K10" s="141" t="s">
        <v>900</v>
      </c>
      <c r="L10" s="137">
        <v>20880</v>
      </c>
      <c r="M10" s="365"/>
    </row>
    <row r="11" spans="1:13" x14ac:dyDescent="0.3">
      <c r="A11" s="357"/>
      <c r="B11" s="139" t="s">
        <v>901</v>
      </c>
      <c r="C11" s="140">
        <v>10000</v>
      </c>
      <c r="D11" s="364"/>
      <c r="E11" s="141" t="s">
        <v>907</v>
      </c>
      <c r="F11" s="140">
        <v>0</v>
      </c>
      <c r="G11" s="364"/>
      <c r="H11" s="141" t="s">
        <v>907</v>
      </c>
      <c r="I11" s="135">
        <v>0</v>
      </c>
      <c r="J11" s="364"/>
      <c r="K11" s="141" t="s">
        <v>907</v>
      </c>
      <c r="L11" s="137">
        <v>0</v>
      </c>
      <c r="M11" s="365"/>
    </row>
    <row r="12" spans="1:13" x14ac:dyDescent="0.3">
      <c r="A12" s="357"/>
      <c r="B12" s="139" t="s">
        <v>902</v>
      </c>
      <c r="C12" s="140">
        <f>C10+C11</f>
        <v>58000</v>
      </c>
      <c r="D12" s="364"/>
      <c r="E12" s="141" t="s">
        <v>902</v>
      </c>
      <c r="F12" s="140">
        <f>F10+F11</f>
        <v>11664</v>
      </c>
      <c r="G12" s="364"/>
      <c r="H12" s="141" t="s">
        <v>902</v>
      </c>
      <c r="I12" s="135">
        <f>I10+I11</f>
        <v>11664</v>
      </c>
      <c r="J12" s="364"/>
      <c r="K12" s="141" t="s">
        <v>902</v>
      </c>
      <c r="L12" s="137">
        <v>20880</v>
      </c>
      <c r="M12" s="365"/>
    </row>
    <row r="13" spans="1:13" x14ac:dyDescent="0.3">
      <c r="A13" s="357"/>
      <c r="B13" s="139" t="s">
        <v>903</v>
      </c>
      <c r="C13" s="142">
        <f>C12/C3</f>
        <v>0.14499999999999999</v>
      </c>
      <c r="D13" s="364"/>
      <c r="E13" s="141" t="s">
        <v>903</v>
      </c>
      <c r="F13" s="142">
        <f>F12/F3</f>
        <v>0.16200000000000001</v>
      </c>
      <c r="G13" s="364"/>
      <c r="H13" s="141" t="s">
        <v>903</v>
      </c>
      <c r="I13" s="211">
        <f>I12/I3</f>
        <v>0.16200000000000001</v>
      </c>
      <c r="J13" s="364"/>
      <c r="K13" s="141" t="s">
        <v>903</v>
      </c>
      <c r="L13" s="143">
        <f>L12/L3</f>
        <v>8.6999999999999994E-2</v>
      </c>
      <c r="M13" s="365"/>
    </row>
    <row r="14" spans="1:13" x14ac:dyDescent="0.3">
      <c r="A14" s="357"/>
      <c r="B14" s="139" t="s">
        <v>8</v>
      </c>
      <c r="C14" s="144">
        <v>5900</v>
      </c>
      <c r="D14" s="364"/>
      <c r="E14" s="141" t="s">
        <v>908</v>
      </c>
      <c r="F14" s="144">
        <v>1180</v>
      </c>
      <c r="G14" s="364"/>
      <c r="H14" s="141" t="s">
        <v>908</v>
      </c>
      <c r="I14" s="212">
        <v>1180</v>
      </c>
      <c r="J14" s="364"/>
      <c r="K14" s="141" t="s">
        <v>908</v>
      </c>
      <c r="L14" s="145">
        <v>0</v>
      </c>
      <c r="M14" s="365"/>
    </row>
    <row r="15" spans="1:13" x14ac:dyDescent="0.3">
      <c r="A15" s="357"/>
      <c r="B15" s="139" t="s">
        <v>905</v>
      </c>
      <c r="C15" s="142">
        <f>(C12-C14)/C3</f>
        <v>0.13025</v>
      </c>
      <c r="D15" s="364"/>
      <c r="E15" s="141" t="s">
        <v>905</v>
      </c>
      <c r="F15" s="142">
        <f>(F12-F14)/F3</f>
        <v>0.14561111111111111</v>
      </c>
      <c r="G15" s="364"/>
      <c r="H15" s="141" t="s">
        <v>905</v>
      </c>
      <c r="I15" s="211">
        <f>(I12-I14)/I3</f>
        <v>0.14561111111111111</v>
      </c>
      <c r="J15" s="364"/>
      <c r="K15" s="141" t="s">
        <v>905</v>
      </c>
      <c r="L15" s="143">
        <v>8.6999999999999994E-2</v>
      </c>
      <c r="M15" s="365"/>
    </row>
    <row r="16" spans="1:13" x14ac:dyDescent="0.3">
      <c r="A16" s="357"/>
      <c r="B16" s="362" t="s">
        <v>910</v>
      </c>
      <c r="C16" s="362"/>
      <c r="D16" s="364"/>
      <c r="E16" s="141" t="s">
        <v>909</v>
      </c>
      <c r="F16" s="144">
        <v>5310</v>
      </c>
      <c r="G16" s="364"/>
      <c r="H16" s="141" t="s">
        <v>909</v>
      </c>
      <c r="I16" s="212">
        <v>5310</v>
      </c>
      <c r="J16" s="364"/>
      <c r="K16" s="377" t="s">
        <v>33</v>
      </c>
      <c r="L16" s="378"/>
      <c r="M16" s="365"/>
    </row>
    <row r="17" spans="1:13" x14ac:dyDescent="0.3">
      <c r="A17" s="357"/>
      <c r="B17" s="362"/>
      <c r="C17" s="362"/>
      <c r="D17" s="364"/>
      <c r="E17" s="141" t="s">
        <v>905</v>
      </c>
      <c r="F17" s="142">
        <f>(F12-F16)/F3</f>
        <v>8.8249999999999995E-2</v>
      </c>
      <c r="G17" s="364"/>
      <c r="H17" s="141" t="s">
        <v>905</v>
      </c>
      <c r="I17" s="211">
        <f>(I12-I16)/I3</f>
        <v>8.8249999999999995E-2</v>
      </c>
      <c r="J17" s="364"/>
      <c r="K17" s="379"/>
      <c r="L17" s="380"/>
      <c r="M17" s="365"/>
    </row>
    <row r="18" spans="1:13" x14ac:dyDescent="0.3">
      <c r="A18" s="357"/>
      <c r="B18" s="138" t="s">
        <v>920</v>
      </c>
      <c r="C18" s="138" t="s">
        <v>913</v>
      </c>
      <c r="D18" s="364"/>
      <c r="E18" s="138" t="s">
        <v>915</v>
      </c>
      <c r="F18" s="138" t="s">
        <v>914</v>
      </c>
      <c r="G18" s="364"/>
      <c r="H18" s="376" t="s">
        <v>915</v>
      </c>
      <c r="I18" s="368"/>
      <c r="J18" s="364"/>
      <c r="K18" s="368" t="s">
        <v>916</v>
      </c>
      <c r="L18" s="369"/>
      <c r="M18" s="365"/>
    </row>
    <row r="19" spans="1:13" x14ac:dyDescent="0.3">
      <c r="A19" s="357"/>
      <c r="B19" s="134" t="s">
        <v>919</v>
      </c>
      <c r="C19" s="135">
        <v>400000</v>
      </c>
      <c r="D19" s="364"/>
      <c r="E19" s="134" t="s">
        <v>919</v>
      </c>
      <c r="F19" s="135">
        <v>72000</v>
      </c>
      <c r="G19" s="364"/>
      <c r="H19" s="134" t="s">
        <v>919</v>
      </c>
      <c r="I19" s="137">
        <v>72000</v>
      </c>
      <c r="J19" s="364"/>
      <c r="K19" s="134" t="s">
        <v>919</v>
      </c>
      <c r="L19" s="137">
        <v>240000</v>
      </c>
      <c r="M19" s="365"/>
    </row>
    <row r="20" spans="1:13" x14ac:dyDescent="0.3">
      <c r="A20" s="357"/>
      <c r="B20" s="134" t="s">
        <v>921</v>
      </c>
      <c r="C20" s="135">
        <v>0</v>
      </c>
      <c r="D20" s="364"/>
      <c r="E20" s="134" t="s">
        <v>921</v>
      </c>
      <c r="F20" s="135">
        <v>0</v>
      </c>
      <c r="G20" s="364"/>
      <c r="H20" s="134" t="s">
        <v>921</v>
      </c>
      <c r="I20" s="137">
        <v>0</v>
      </c>
      <c r="J20" s="364"/>
      <c r="K20" s="134" t="s">
        <v>921</v>
      </c>
      <c r="L20" s="137">
        <v>0</v>
      </c>
      <c r="M20" s="365"/>
    </row>
    <row r="21" spans="1:13" x14ac:dyDescent="0.3">
      <c r="A21" s="357"/>
      <c r="B21" s="139" t="s">
        <v>918</v>
      </c>
      <c r="C21" s="151">
        <f>(C19/100)*2*3+(C20/100)*2</f>
        <v>24000</v>
      </c>
      <c r="D21" s="364"/>
      <c r="E21" s="139" t="s">
        <v>896</v>
      </c>
      <c r="F21" s="146">
        <f>(F19/100)*2*5+(F20/100)*2</f>
        <v>7200</v>
      </c>
      <c r="G21" s="364"/>
      <c r="H21" s="139" t="s">
        <v>896</v>
      </c>
      <c r="I21" s="147">
        <f>(I19/100)*2*2+(I20/100)*2</f>
        <v>2880</v>
      </c>
      <c r="J21" s="364"/>
      <c r="K21" s="139" t="s">
        <v>917</v>
      </c>
      <c r="L21" s="147">
        <f>(L19/100)*2*2+(L20/100)*2</f>
        <v>9600</v>
      </c>
      <c r="M21" s="365"/>
    </row>
    <row r="22" spans="1:13" x14ac:dyDescent="0.3">
      <c r="A22" s="357"/>
      <c r="B22" s="139" t="s">
        <v>922</v>
      </c>
      <c r="C22" s="148">
        <f>C21+C6+C7</f>
        <v>76000</v>
      </c>
      <c r="D22" s="364"/>
      <c r="E22" s="139" t="s">
        <v>922</v>
      </c>
      <c r="F22" s="146">
        <f>F21+F6+F7</f>
        <v>25200</v>
      </c>
      <c r="G22" s="364"/>
      <c r="H22" s="139" t="s">
        <v>922</v>
      </c>
      <c r="I22" s="150">
        <f>(I19/100)*2*2+(I20/100)*2+I6+I7</f>
        <v>20880</v>
      </c>
      <c r="J22" s="364"/>
      <c r="K22" s="139" t="s">
        <v>922</v>
      </c>
      <c r="L22" s="150">
        <f>(L19/100)*2*2+(L20/100)*2+L6+L7</f>
        <v>39600</v>
      </c>
      <c r="M22" s="365"/>
    </row>
    <row r="23" spans="1:13" x14ac:dyDescent="0.3">
      <c r="A23" s="357"/>
      <c r="B23" s="139" t="s">
        <v>898</v>
      </c>
      <c r="C23" s="136">
        <v>0.6</v>
      </c>
      <c r="D23" s="364"/>
      <c r="E23" s="139" t="s">
        <v>898</v>
      </c>
      <c r="F23" s="136">
        <v>0.6</v>
      </c>
      <c r="G23" s="364"/>
      <c r="H23" s="139" t="s">
        <v>898</v>
      </c>
      <c r="I23" s="141">
        <v>0.6</v>
      </c>
      <c r="J23" s="364"/>
      <c r="K23" s="139" t="s">
        <v>898</v>
      </c>
      <c r="L23" s="141">
        <v>0.6</v>
      </c>
      <c r="M23" s="365"/>
    </row>
    <row r="24" spans="1:13" x14ac:dyDescent="0.3">
      <c r="A24" s="357"/>
      <c r="B24" s="139" t="s">
        <v>900</v>
      </c>
      <c r="C24" s="140">
        <f>C22*C23</f>
        <v>45600</v>
      </c>
      <c r="D24" s="364"/>
      <c r="E24" s="139" t="s">
        <v>900</v>
      </c>
      <c r="F24" s="140">
        <f>F22*F23</f>
        <v>15120</v>
      </c>
      <c r="G24" s="364"/>
      <c r="H24" s="139" t="s">
        <v>900</v>
      </c>
      <c r="I24" s="137">
        <f>I23*I22</f>
        <v>12528</v>
      </c>
      <c r="J24" s="364"/>
      <c r="K24" s="139" t="s">
        <v>900</v>
      </c>
      <c r="L24" s="137">
        <f>L23*L22</f>
        <v>23760</v>
      </c>
      <c r="M24" s="365"/>
    </row>
    <row r="25" spans="1:13" x14ac:dyDescent="0.3">
      <c r="A25" s="357"/>
      <c r="B25" s="139" t="s">
        <v>901</v>
      </c>
      <c r="C25" s="140">
        <v>10000</v>
      </c>
      <c r="D25" s="364"/>
      <c r="E25" s="139" t="s">
        <v>901</v>
      </c>
      <c r="F25" s="140">
        <v>0</v>
      </c>
      <c r="G25" s="364"/>
      <c r="H25" s="139" t="s">
        <v>901</v>
      </c>
      <c r="I25" s="137">
        <v>0</v>
      </c>
      <c r="J25" s="364"/>
      <c r="K25" s="139" t="s">
        <v>901</v>
      </c>
      <c r="L25" s="137">
        <v>0</v>
      </c>
      <c r="M25" s="365"/>
    </row>
    <row r="26" spans="1:13" x14ac:dyDescent="0.3">
      <c r="A26" s="357"/>
      <c r="B26" s="139" t="s">
        <v>902</v>
      </c>
      <c r="C26" s="140">
        <f>C24+C25</f>
        <v>55600</v>
      </c>
      <c r="D26" s="364"/>
      <c r="E26" s="139" t="s">
        <v>902</v>
      </c>
      <c r="F26" s="140">
        <f>F24+F25</f>
        <v>15120</v>
      </c>
      <c r="G26" s="364"/>
      <c r="H26" s="139" t="s">
        <v>902</v>
      </c>
      <c r="I26" s="137">
        <f>I25+I24</f>
        <v>12528</v>
      </c>
      <c r="J26" s="364"/>
      <c r="K26" s="139" t="s">
        <v>902</v>
      </c>
      <c r="L26" s="137">
        <f>L24+L25</f>
        <v>23760</v>
      </c>
      <c r="M26" s="365"/>
    </row>
    <row r="27" spans="1:13" x14ac:dyDescent="0.3">
      <c r="A27" s="357"/>
      <c r="B27" s="139" t="s">
        <v>903</v>
      </c>
      <c r="C27" s="142">
        <f>C26/(C19+C20)</f>
        <v>0.13900000000000001</v>
      </c>
      <c r="D27" s="364"/>
      <c r="E27" s="141" t="s">
        <v>903</v>
      </c>
      <c r="F27" s="142">
        <f>F26/(F19+F20)</f>
        <v>0.21</v>
      </c>
      <c r="G27" s="364"/>
      <c r="H27" s="141" t="s">
        <v>903</v>
      </c>
      <c r="I27" s="143">
        <f>I26/(I19+I20)</f>
        <v>0.17399999999999999</v>
      </c>
      <c r="J27" s="364"/>
      <c r="K27" s="141" t="s">
        <v>903</v>
      </c>
      <c r="L27" s="143">
        <f>L26/(L19+L20)</f>
        <v>9.9000000000000005E-2</v>
      </c>
      <c r="M27" s="365"/>
    </row>
    <row r="28" spans="1:13" x14ac:dyDescent="0.3">
      <c r="A28" s="357"/>
      <c r="B28" s="139" t="s">
        <v>8</v>
      </c>
      <c r="C28" s="144">
        <v>5900</v>
      </c>
      <c r="D28" s="364"/>
      <c r="E28" s="141" t="s">
        <v>908</v>
      </c>
      <c r="F28" s="144">
        <v>1180</v>
      </c>
      <c r="G28" s="364"/>
      <c r="H28" s="141" t="s">
        <v>908</v>
      </c>
      <c r="I28" s="145">
        <v>1180</v>
      </c>
      <c r="J28" s="364"/>
      <c r="K28" s="141" t="s">
        <v>908</v>
      </c>
      <c r="L28" s="145">
        <v>0</v>
      </c>
      <c r="M28" s="365"/>
    </row>
    <row r="29" spans="1:13" x14ac:dyDescent="0.3">
      <c r="A29" s="357"/>
      <c r="B29" s="139" t="s">
        <v>905</v>
      </c>
      <c r="C29" s="142">
        <f>(C26-C28)/(C19+C20)</f>
        <v>0.12425</v>
      </c>
      <c r="D29" s="364"/>
      <c r="E29" s="141" t="s">
        <v>905</v>
      </c>
      <c r="F29" s="142">
        <f>(F26-F28)/(F19+F20)</f>
        <v>0.19361111111111112</v>
      </c>
      <c r="G29" s="364"/>
      <c r="H29" s="141" t="s">
        <v>905</v>
      </c>
      <c r="I29" s="143">
        <f>(I26-I28)/(I19+I20)</f>
        <v>0.15761111111111112</v>
      </c>
      <c r="J29" s="364"/>
      <c r="K29" s="141" t="s">
        <v>905</v>
      </c>
      <c r="L29" s="143">
        <f>L27</f>
        <v>9.9000000000000005E-2</v>
      </c>
      <c r="M29" s="365"/>
    </row>
    <row r="30" spans="1:13" x14ac:dyDescent="0.3">
      <c r="A30" s="357"/>
      <c r="B30" s="366" t="s">
        <v>33</v>
      </c>
      <c r="C30" s="366"/>
      <c r="D30" s="364"/>
      <c r="E30" s="141" t="s">
        <v>909</v>
      </c>
      <c r="F30" s="144">
        <v>5310</v>
      </c>
      <c r="G30" s="364"/>
      <c r="H30" s="141" t="s">
        <v>909</v>
      </c>
      <c r="I30" s="145">
        <v>5310</v>
      </c>
      <c r="J30" s="364"/>
      <c r="K30" s="377" t="s">
        <v>33</v>
      </c>
      <c r="L30" s="378"/>
      <c r="M30" s="365"/>
    </row>
    <row r="31" spans="1:13" x14ac:dyDescent="0.3">
      <c r="A31" s="357"/>
      <c r="B31" s="367"/>
      <c r="C31" s="367"/>
      <c r="D31" s="364"/>
      <c r="E31" s="141" t="s">
        <v>905</v>
      </c>
      <c r="F31" s="142">
        <f>(C26-C30)/(C19+C20)</f>
        <v>0.13900000000000001</v>
      </c>
      <c r="G31" s="364"/>
      <c r="H31" s="141" t="s">
        <v>905</v>
      </c>
      <c r="I31" s="143">
        <f>(I26-I30)/(I19+I20)</f>
        <v>0.10025000000000001</v>
      </c>
      <c r="J31" s="364"/>
      <c r="K31" s="379"/>
      <c r="L31" s="380"/>
      <c r="M31" s="365"/>
    </row>
    <row r="32" spans="1:13" x14ac:dyDescent="0.3">
      <c r="A32" s="357"/>
      <c r="B32" s="357"/>
      <c r="C32" s="357"/>
      <c r="D32" s="357"/>
      <c r="E32" s="357"/>
      <c r="F32" s="357"/>
      <c r="G32" s="357"/>
      <c r="H32" s="357"/>
      <c r="I32" s="357"/>
      <c r="J32" s="357"/>
      <c r="K32" s="357"/>
      <c r="L32" s="357"/>
      <c r="M32" s="357"/>
    </row>
    <row r="33" spans="1:16" ht="25.05" customHeight="1" x14ac:dyDescent="0.3">
      <c r="A33" s="356" t="s">
        <v>1112</v>
      </c>
      <c r="B33" s="356"/>
      <c r="C33" s="356"/>
      <c r="D33" s="356"/>
      <c r="E33" s="356"/>
      <c r="F33" s="356"/>
      <c r="G33" s="356"/>
      <c r="H33" s="356"/>
      <c r="I33" s="356"/>
      <c r="J33" s="356"/>
      <c r="K33" s="356"/>
      <c r="L33" s="356"/>
      <c r="M33" s="356"/>
      <c r="N33" s="356"/>
      <c r="O33" s="356"/>
      <c r="P33" s="356"/>
    </row>
    <row r="34" spans="1:16" ht="15.6" x14ac:dyDescent="0.3">
      <c r="A34" s="374"/>
      <c r="B34" s="372" t="s">
        <v>880</v>
      </c>
      <c r="C34" s="372"/>
      <c r="D34" s="382"/>
      <c r="E34" s="372" t="s">
        <v>1126</v>
      </c>
      <c r="F34" s="372"/>
      <c r="G34" s="382"/>
      <c r="H34" s="372" t="s">
        <v>1129</v>
      </c>
      <c r="I34" s="372"/>
      <c r="J34" s="384"/>
      <c r="K34" s="372" t="s">
        <v>385</v>
      </c>
      <c r="L34" s="372"/>
      <c r="M34" s="383"/>
      <c r="N34" s="372" t="s">
        <v>780</v>
      </c>
      <c r="O34" s="372"/>
      <c r="P34" s="381"/>
    </row>
    <row r="35" spans="1:16" ht="14.4" customHeight="1" x14ac:dyDescent="0.3">
      <c r="A35" s="374"/>
      <c r="B35" s="203" t="s">
        <v>1114</v>
      </c>
      <c r="C35" s="204">
        <v>340000</v>
      </c>
      <c r="D35" s="382"/>
      <c r="E35" s="203" t="s">
        <v>1114</v>
      </c>
      <c r="F35" s="204">
        <v>340000</v>
      </c>
      <c r="G35" s="382"/>
      <c r="H35" s="203" t="s">
        <v>1114</v>
      </c>
      <c r="I35" s="204">
        <v>100000</v>
      </c>
      <c r="J35" s="385"/>
      <c r="K35" s="214" t="s">
        <v>1114</v>
      </c>
      <c r="L35" s="204">
        <v>100000</v>
      </c>
      <c r="M35" s="383"/>
      <c r="N35" s="214" t="s">
        <v>1114</v>
      </c>
      <c r="O35" s="204">
        <v>100000</v>
      </c>
      <c r="P35" s="381"/>
    </row>
    <row r="36" spans="1:16" ht="14.4" customHeight="1" x14ac:dyDescent="0.3">
      <c r="A36" s="374"/>
      <c r="B36" s="203" t="s">
        <v>1118</v>
      </c>
      <c r="C36" s="204">
        <v>130000</v>
      </c>
      <c r="D36" s="382"/>
      <c r="E36" s="203" t="s">
        <v>1118</v>
      </c>
      <c r="F36" s="204">
        <v>130000</v>
      </c>
      <c r="G36" s="382"/>
      <c r="H36" s="203" t="s">
        <v>1131</v>
      </c>
      <c r="I36" s="204">
        <v>500000</v>
      </c>
      <c r="J36" s="385"/>
      <c r="K36" s="214" t="s">
        <v>1134</v>
      </c>
      <c r="L36" s="204">
        <v>60000</v>
      </c>
      <c r="M36" s="383"/>
      <c r="N36" s="214" t="s">
        <v>1137</v>
      </c>
      <c r="O36" s="204">
        <v>60000</v>
      </c>
      <c r="P36" s="381"/>
    </row>
    <row r="37" spans="1:16" ht="14.4" customHeight="1" x14ac:dyDescent="0.3">
      <c r="A37" s="374"/>
      <c r="B37" s="203" t="s">
        <v>1117</v>
      </c>
      <c r="C37" s="204">
        <v>120000</v>
      </c>
      <c r="D37" s="382"/>
      <c r="E37" s="203" t="s">
        <v>1117</v>
      </c>
      <c r="F37" s="204">
        <v>120000</v>
      </c>
      <c r="G37" s="382"/>
      <c r="H37" s="203" t="s">
        <v>1115</v>
      </c>
      <c r="I37" s="204">
        <v>270000</v>
      </c>
      <c r="J37" s="385"/>
      <c r="K37" s="214" t="s">
        <v>1135</v>
      </c>
      <c r="L37" s="204">
        <v>270000</v>
      </c>
      <c r="M37" s="383"/>
      <c r="N37" s="214" t="s">
        <v>1115</v>
      </c>
      <c r="O37" s="204">
        <v>150000</v>
      </c>
      <c r="P37" s="381"/>
    </row>
    <row r="38" spans="1:16" ht="14.4" customHeight="1" x14ac:dyDescent="0.3">
      <c r="A38" s="374"/>
      <c r="B38" s="203" t="s">
        <v>1115</v>
      </c>
      <c r="C38" s="204">
        <v>270000</v>
      </c>
      <c r="D38" s="382"/>
      <c r="E38" s="203" t="s">
        <v>1115</v>
      </c>
      <c r="F38" s="204">
        <v>270000</v>
      </c>
      <c r="G38" s="382"/>
      <c r="H38" s="203" t="s">
        <v>1123</v>
      </c>
      <c r="I38" s="204">
        <f>SUM(I35:I37)</f>
        <v>870000</v>
      </c>
      <c r="J38" s="385"/>
      <c r="K38" s="214" t="s">
        <v>1123</v>
      </c>
      <c r="L38" s="204">
        <f>SUM(L35:L37)</f>
        <v>430000</v>
      </c>
      <c r="M38" s="383"/>
      <c r="N38" s="214" t="s">
        <v>1123</v>
      </c>
      <c r="O38" s="204">
        <v>300000</v>
      </c>
      <c r="P38" s="381"/>
    </row>
    <row r="39" spans="1:16" ht="14.4" customHeight="1" x14ac:dyDescent="0.3">
      <c r="A39" s="374"/>
      <c r="B39" s="203" t="s">
        <v>1123</v>
      </c>
      <c r="C39" s="204">
        <f>SUM(C35:C38)</f>
        <v>860000</v>
      </c>
      <c r="D39" s="382"/>
      <c r="E39" s="203" t="s">
        <v>1123</v>
      </c>
      <c r="F39" s="204">
        <f>SUM(F35:F38)</f>
        <v>860000</v>
      </c>
      <c r="G39" s="382"/>
      <c r="H39" s="203" t="s">
        <v>1132</v>
      </c>
      <c r="I39" s="204">
        <f>QUOTIENT(I38,500000) * 5000</f>
        <v>5000</v>
      </c>
      <c r="J39" s="385"/>
      <c r="K39" s="214" t="s">
        <v>1132</v>
      </c>
      <c r="L39" s="204">
        <f>QUOTIENT(L38,500000) * 5000</f>
        <v>0</v>
      </c>
      <c r="M39" s="383"/>
      <c r="N39" s="214" t="s">
        <v>1132</v>
      </c>
      <c r="O39" s="204">
        <f>QUOTIENT(O38,500000) * 5000</f>
        <v>0</v>
      </c>
      <c r="P39" s="381"/>
    </row>
    <row r="40" spans="1:16" ht="14.4" customHeight="1" x14ac:dyDescent="0.3">
      <c r="A40" s="374"/>
      <c r="B40" s="203" t="s">
        <v>1119</v>
      </c>
      <c r="C40" s="203">
        <v>5</v>
      </c>
      <c r="D40" s="382"/>
      <c r="E40" s="203" t="s">
        <v>1119</v>
      </c>
      <c r="F40" s="203">
        <v>5</v>
      </c>
      <c r="G40" s="382"/>
      <c r="H40" s="203" t="s">
        <v>1119</v>
      </c>
      <c r="I40" s="203">
        <v>5</v>
      </c>
      <c r="J40" s="385"/>
      <c r="K40" s="214" t="s">
        <v>1119</v>
      </c>
      <c r="L40" s="203">
        <v>4</v>
      </c>
      <c r="M40" s="383"/>
      <c r="N40" s="214" t="s">
        <v>1119</v>
      </c>
      <c r="O40" s="203">
        <v>4</v>
      </c>
      <c r="P40" s="381"/>
    </row>
    <row r="41" spans="1:16" ht="14.4" customHeight="1" x14ac:dyDescent="0.3">
      <c r="A41" s="374"/>
      <c r="B41" s="203" t="s">
        <v>896</v>
      </c>
      <c r="C41" s="205">
        <f>((C35+C36+C37)/150)*C40</f>
        <v>19666.666666666668</v>
      </c>
      <c r="D41" s="382"/>
      <c r="E41" s="203" t="s">
        <v>896</v>
      </c>
      <c r="F41" s="205">
        <f>((F35+F36+F37)/150)*F40</f>
        <v>19666.666666666668</v>
      </c>
      <c r="G41" s="382"/>
      <c r="H41" s="203" t="s">
        <v>896</v>
      </c>
      <c r="I41" s="205">
        <f>((I35)/150)*I40</f>
        <v>3333.333333333333</v>
      </c>
      <c r="J41" s="385"/>
      <c r="K41" s="214" t="s">
        <v>896</v>
      </c>
      <c r="L41" s="205">
        <f>((L35)/150)*L40</f>
        <v>2666.6666666666665</v>
      </c>
      <c r="M41" s="383"/>
      <c r="N41" s="214" t="s">
        <v>896</v>
      </c>
      <c r="O41" s="205">
        <f>((O35)/150)*O40</f>
        <v>2666.6666666666665</v>
      </c>
      <c r="P41" s="381"/>
    </row>
    <row r="42" spans="1:16" ht="14.4" customHeight="1" x14ac:dyDescent="0.3">
      <c r="A42" s="374"/>
      <c r="B42" s="203" t="s">
        <v>1124</v>
      </c>
      <c r="C42" s="203">
        <v>15000</v>
      </c>
      <c r="D42" s="382"/>
      <c r="E42" s="203" t="s">
        <v>1124</v>
      </c>
      <c r="F42" s="203">
        <v>0</v>
      </c>
      <c r="G42" s="382"/>
      <c r="H42" s="203" t="s">
        <v>1124</v>
      </c>
      <c r="I42" s="203">
        <v>0</v>
      </c>
      <c r="J42" s="385"/>
      <c r="K42" s="214" t="s">
        <v>1124</v>
      </c>
      <c r="L42" s="203">
        <v>0</v>
      </c>
      <c r="M42" s="383"/>
      <c r="N42" s="214" t="s">
        <v>1124</v>
      </c>
      <c r="O42" s="203">
        <v>0</v>
      </c>
      <c r="P42" s="381"/>
    </row>
    <row r="43" spans="1:16" ht="14.4" customHeight="1" x14ac:dyDescent="0.3">
      <c r="A43" s="374"/>
      <c r="B43" s="203" t="s">
        <v>1121</v>
      </c>
      <c r="C43" s="205">
        <f>(C38/150)*C40*10</f>
        <v>90000</v>
      </c>
      <c r="D43" s="382"/>
      <c r="E43" s="203" t="s">
        <v>1121</v>
      </c>
      <c r="F43" s="205">
        <f>(F38/150)*F40*10</f>
        <v>90000</v>
      </c>
      <c r="G43" s="382"/>
      <c r="H43" s="203" t="s">
        <v>1121</v>
      </c>
      <c r="I43" s="205">
        <f>(I37/150)*I40*10+ (I36/150)*I40*5</f>
        <v>173333.33333333334</v>
      </c>
      <c r="J43" s="385"/>
      <c r="K43" s="214" t="s">
        <v>1121</v>
      </c>
      <c r="L43" s="205">
        <f>(L37/150)*L40*5+ (L36/150)*L40*5</f>
        <v>44000</v>
      </c>
      <c r="M43" s="383"/>
      <c r="N43" s="214" t="s">
        <v>1121</v>
      </c>
      <c r="O43" s="205">
        <f>(O37/150)*O40*10+ (O36/150)*O40*5</f>
        <v>48000</v>
      </c>
      <c r="P43" s="381"/>
    </row>
    <row r="44" spans="1:16" ht="14.4" customHeight="1" x14ac:dyDescent="0.3">
      <c r="A44" s="374"/>
      <c r="B44" s="203" t="s">
        <v>1120</v>
      </c>
      <c r="C44" s="205">
        <f xml:space="preserve"> C41+C42+C43</f>
        <v>124666.66666666667</v>
      </c>
      <c r="D44" s="382"/>
      <c r="E44" s="203" t="s">
        <v>1120</v>
      </c>
      <c r="F44" s="205">
        <f xml:space="preserve"> F41+F42+F43</f>
        <v>109666.66666666667</v>
      </c>
      <c r="G44" s="382"/>
      <c r="H44" s="203" t="s">
        <v>1120</v>
      </c>
      <c r="I44" s="205">
        <f xml:space="preserve"> I41+I42+I43</f>
        <v>176666.66666666669</v>
      </c>
      <c r="J44" s="385"/>
      <c r="K44" s="214" t="s">
        <v>1120</v>
      </c>
      <c r="L44" s="205">
        <f xml:space="preserve"> L41+L42+L43</f>
        <v>46666.666666666664</v>
      </c>
      <c r="M44" s="383"/>
      <c r="N44" s="214" t="s">
        <v>1120</v>
      </c>
      <c r="O44" s="205">
        <f xml:space="preserve"> O41+O42+O43</f>
        <v>50666.666666666664</v>
      </c>
      <c r="P44" s="381"/>
    </row>
    <row r="45" spans="1:16" ht="14.4" customHeight="1" x14ac:dyDescent="0.3">
      <c r="A45" s="374"/>
      <c r="B45" s="203" t="s">
        <v>1122</v>
      </c>
      <c r="C45" s="208">
        <v>1</v>
      </c>
      <c r="D45" s="382"/>
      <c r="E45" s="203" t="s">
        <v>1122</v>
      </c>
      <c r="F45" s="208">
        <v>1</v>
      </c>
      <c r="G45" s="382"/>
      <c r="H45" s="203" t="s">
        <v>1122</v>
      </c>
      <c r="I45" s="208">
        <v>1</v>
      </c>
      <c r="J45" s="385"/>
      <c r="K45" s="214" t="s">
        <v>1122</v>
      </c>
      <c r="L45" s="208">
        <v>0.5</v>
      </c>
      <c r="M45" s="383"/>
      <c r="N45" s="214" t="s">
        <v>1122</v>
      </c>
      <c r="O45" s="208">
        <v>0.5</v>
      </c>
      <c r="P45" s="381"/>
    </row>
    <row r="46" spans="1:16" ht="14.4" customHeight="1" x14ac:dyDescent="0.3">
      <c r="A46" s="374"/>
      <c r="B46" s="203" t="s">
        <v>900</v>
      </c>
      <c r="C46" s="204">
        <f>C45*C44</f>
        <v>124666.66666666667</v>
      </c>
      <c r="D46" s="382"/>
      <c r="E46" s="203" t="s">
        <v>900</v>
      </c>
      <c r="F46" s="204">
        <f>F45*F44</f>
        <v>109666.66666666667</v>
      </c>
      <c r="G46" s="382"/>
      <c r="H46" s="203" t="s">
        <v>900</v>
      </c>
      <c r="I46" s="204">
        <f>I45*I44</f>
        <v>176666.66666666669</v>
      </c>
      <c r="J46" s="385"/>
      <c r="K46" s="214" t="s">
        <v>900</v>
      </c>
      <c r="L46" s="204">
        <f>L45*L44</f>
        <v>23333.333333333332</v>
      </c>
      <c r="M46" s="383"/>
      <c r="N46" s="214" t="s">
        <v>900</v>
      </c>
      <c r="O46" s="204">
        <f>O45*O44</f>
        <v>25333.333333333332</v>
      </c>
      <c r="P46" s="381"/>
    </row>
    <row r="47" spans="1:16" ht="14.4" customHeight="1" x14ac:dyDescent="0.3">
      <c r="A47" s="374"/>
      <c r="B47" s="203" t="s">
        <v>903</v>
      </c>
      <c r="C47" s="206">
        <f>(C46/(C35+C36+C37+C38))</f>
        <v>0.14496124031007754</v>
      </c>
      <c r="D47" s="382"/>
      <c r="E47" s="203" t="s">
        <v>903</v>
      </c>
      <c r="F47" s="206">
        <f>(F46/(F35+F36+F37+F38))</f>
        <v>0.12751937984496126</v>
      </c>
      <c r="G47" s="382"/>
      <c r="H47" s="203" t="s">
        <v>903</v>
      </c>
      <c r="I47" s="206">
        <f>I46/I38</f>
        <v>0.20306513409961688</v>
      </c>
      <c r="J47" s="385"/>
      <c r="K47" s="214" t="s">
        <v>903</v>
      </c>
      <c r="L47" s="206">
        <f>L46/L38</f>
        <v>5.4263565891472867E-2</v>
      </c>
      <c r="M47" s="383"/>
      <c r="N47" s="214" t="s">
        <v>903</v>
      </c>
      <c r="O47" s="206">
        <f>O46/O38</f>
        <v>8.4444444444444447E-2</v>
      </c>
      <c r="P47" s="381"/>
    </row>
    <row r="48" spans="1:16" ht="14.4" customHeight="1" x14ac:dyDescent="0.3">
      <c r="A48" s="374"/>
      <c r="B48" s="203" t="s">
        <v>1125</v>
      </c>
      <c r="C48" s="210">
        <f>IF(C39&gt;=1000000, 0, C49)</f>
        <v>14750</v>
      </c>
      <c r="D48" s="382"/>
      <c r="E48" s="203" t="s">
        <v>1125</v>
      </c>
      <c r="F48" s="210">
        <f>IF(F39&gt;=800000, 0, F49)</f>
        <v>0</v>
      </c>
      <c r="G48" s="382"/>
      <c r="H48" s="203" t="s">
        <v>1125</v>
      </c>
      <c r="I48" s="210">
        <f>IF(I38&gt;=750000, 0, I49)</f>
        <v>0</v>
      </c>
      <c r="J48" s="385"/>
      <c r="K48" s="214" t="s">
        <v>1125</v>
      </c>
      <c r="L48" s="210">
        <f>IF(L38&gt;=400000, 0, L49)</f>
        <v>0</v>
      </c>
      <c r="M48" s="383"/>
      <c r="N48" s="214" t="s">
        <v>1125</v>
      </c>
      <c r="O48" s="210">
        <f>IF(O38&gt;=300000, 0, O49)</f>
        <v>0</v>
      </c>
      <c r="P48" s="381"/>
    </row>
    <row r="49" spans="1:16" ht="14.4" customHeight="1" x14ac:dyDescent="0.3">
      <c r="A49" s="374"/>
      <c r="B49" s="203" t="s">
        <v>8</v>
      </c>
      <c r="C49" s="207">
        <v>14750</v>
      </c>
      <c r="D49" s="382"/>
      <c r="E49" s="203" t="s">
        <v>8</v>
      </c>
      <c r="F49" s="207">
        <v>11800</v>
      </c>
      <c r="G49" s="382"/>
      <c r="H49" s="203" t="s">
        <v>8</v>
      </c>
      <c r="I49" s="207">
        <v>11800</v>
      </c>
      <c r="J49" s="385"/>
      <c r="K49" s="214" t="s">
        <v>8</v>
      </c>
      <c r="L49" s="207">
        <v>2950</v>
      </c>
      <c r="M49" s="383"/>
      <c r="N49" s="214" t="s">
        <v>8</v>
      </c>
      <c r="O49" s="207">
        <v>1180</v>
      </c>
      <c r="P49" s="381"/>
    </row>
    <row r="50" spans="1:16" ht="14.4" customHeight="1" x14ac:dyDescent="0.3">
      <c r="A50" s="374"/>
      <c r="B50" s="203" t="s">
        <v>905</v>
      </c>
      <c r="C50" s="206">
        <f>(C46-C48)/C39</f>
        <v>0.12781007751937984</v>
      </c>
      <c r="D50" s="382"/>
      <c r="E50" s="203" t="s">
        <v>905</v>
      </c>
      <c r="F50" s="206">
        <f>(F46-F48)/F39</f>
        <v>0.12751937984496126</v>
      </c>
      <c r="G50" s="382"/>
      <c r="H50" s="203" t="s">
        <v>905</v>
      </c>
      <c r="I50" s="206">
        <f>(I46-I48)/I38</f>
        <v>0.20306513409961688</v>
      </c>
      <c r="J50" s="385"/>
      <c r="K50" s="214" t="s">
        <v>905</v>
      </c>
      <c r="L50" s="206">
        <f>(L46-L48)/L38</f>
        <v>5.4263565891472867E-2</v>
      </c>
      <c r="M50" s="383"/>
      <c r="N50" s="214" t="s">
        <v>905</v>
      </c>
      <c r="O50" s="206">
        <f>(O46-O48)/O38</f>
        <v>8.4444444444444447E-2</v>
      </c>
      <c r="P50" s="381"/>
    </row>
    <row r="51" spans="1:16" ht="14.4" customHeight="1" x14ac:dyDescent="0.3">
      <c r="A51" s="374"/>
      <c r="B51" s="373" t="s">
        <v>910</v>
      </c>
      <c r="C51" s="373"/>
      <c r="D51" s="382"/>
      <c r="E51" s="373" t="s">
        <v>910</v>
      </c>
      <c r="F51" s="373"/>
      <c r="G51" s="382"/>
      <c r="H51" s="373" t="s">
        <v>910</v>
      </c>
      <c r="I51" s="373"/>
      <c r="J51" s="385"/>
      <c r="K51" s="373" t="s">
        <v>910</v>
      </c>
      <c r="L51" s="373"/>
      <c r="M51" s="383"/>
      <c r="N51" s="373" t="s">
        <v>910</v>
      </c>
      <c r="O51" s="373"/>
      <c r="P51" s="381"/>
    </row>
    <row r="52" spans="1:16" ht="14.4" customHeight="1" x14ac:dyDescent="0.3">
      <c r="A52" s="374"/>
      <c r="B52" s="373"/>
      <c r="C52" s="373"/>
      <c r="D52" s="382"/>
      <c r="E52" s="373"/>
      <c r="F52" s="373"/>
      <c r="G52" s="382"/>
      <c r="H52" s="373"/>
      <c r="I52" s="373"/>
      <c r="J52" s="385"/>
      <c r="K52" s="373"/>
      <c r="L52" s="373"/>
      <c r="M52" s="383"/>
      <c r="N52" s="373"/>
      <c r="O52" s="373"/>
      <c r="P52" s="381"/>
    </row>
    <row r="53" spans="1:16" x14ac:dyDescent="0.3">
      <c r="A53" s="375"/>
      <c r="B53" s="375"/>
      <c r="C53" s="375"/>
      <c r="D53" s="375"/>
      <c r="E53" s="375"/>
      <c r="F53" s="375"/>
      <c r="G53" s="375"/>
      <c r="H53" s="375"/>
      <c r="I53" s="375"/>
      <c r="J53" s="375"/>
      <c r="K53" s="375"/>
      <c r="L53" s="375"/>
      <c r="M53" s="375"/>
      <c r="N53" s="375"/>
      <c r="O53" s="375"/>
      <c r="P53" s="375"/>
    </row>
    <row r="54" spans="1:16" ht="14.4" customHeight="1" x14ac:dyDescent="0.3">
      <c r="A54" s="51"/>
      <c r="M54" s="213"/>
    </row>
    <row r="55" spans="1:16" ht="14.4" customHeight="1" x14ac:dyDescent="0.3">
      <c r="A55" s="370" t="s">
        <v>1159</v>
      </c>
      <c r="B55" s="371"/>
      <c r="C55" s="371"/>
      <c r="D55" s="371"/>
      <c r="E55" s="371"/>
      <c r="F55" s="371"/>
      <c r="G55" s="371"/>
      <c r="H55" s="371"/>
      <c r="I55" s="371"/>
      <c r="J55" s="371"/>
      <c r="K55" s="371"/>
      <c r="L55" s="371"/>
      <c r="M55" s="371"/>
      <c r="N55" s="371"/>
    </row>
    <row r="56" spans="1:16" ht="14.4" customHeight="1" x14ac:dyDescent="0.3">
      <c r="A56" s="371"/>
      <c r="B56" s="371"/>
      <c r="C56" s="371"/>
      <c r="D56" s="371"/>
      <c r="E56" s="371"/>
      <c r="F56" s="371"/>
      <c r="G56" s="371"/>
      <c r="H56" s="371"/>
      <c r="I56" s="371"/>
      <c r="J56" s="371"/>
      <c r="K56" s="371"/>
      <c r="L56" s="371"/>
      <c r="M56" s="371"/>
      <c r="N56" s="371"/>
    </row>
    <row r="57" spans="1:16" ht="14.4" customHeight="1" x14ac:dyDescent="0.3">
      <c r="A57" s="371"/>
      <c r="B57" s="371"/>
      <c r="C57" s="371"/>
      <c r="D57" s="371"/>
      <c r="E57" s="371"/>
      <c r="F57" s="371"/>
      <c r="G57" s="371"/>
      <c r="H57" s="371"/>
      <c r="I57" s="371"/>
      <c r="J57" s="371"/>
      <c r="K57" s="371"/>
      <c r="L57" s="371"/>
      <c r="M57" s="371"/>
      <c r="N57" s="371"/>
    </row>
    <row r="58" spans="1:16" ht="14.4" customHeight="1" x14ac:dyDescent="0.3">
      <c r="A58" s="371"/>
      <c r="B58" s="371"/>
      <c r="C58" s="371"/>
      <c r="D58" s="371"/>
      <c r="E58" s="371"/>
      <c r="F58" s="371"/>
      <c r="G58" s="371"/>
      <c r="H58" s="371"/>
      <c r="I58" s="371"/>
      <c r="J58" s="371"/>
      <c r="K58" s="371"/>
      <c r="L58" s="371"/>
      <c r="M58" s="371"/>
      <c r="N58" s="371"/>
    </row>
    <row r="59" spans="1:16" ht="14.4" customHeight="1" x14ac:dyDescent="0.3">
      <c r="A59" s="371"/>
      <c r="B59" s="371"/>
      <c r="C59" s="371"/>
      <c r="D59" s="371"/>
      <c r="E59" s="371"/>
      <c r="F59" s="371"/>
      <c r="G59" s="371"/>
      <c r="H59" s="371"/>
      <c r="I59" s="371"/>
      <c r="J59" s="371"/>
      <c r="K59" s="371"/>
      <c r="L59" s="371"/>
      <c r="M59" s="371"/>
      <c r="N59" s="371"/>
    </row>
    <row r="60" spans="1:16" ht="14.4" customHeight="1" x14ac:dyDescent="0.3">
      <c r="A60" s="371"/>
      <c r="B60" s="371"/>
      <c r="C60" s="371"/>
      <c r="D60" s="371"/>
      <c r="E60" s="371"/>
      <c r="F60" s="371"/>
      <c r="G60" s="371"/>
      <c r="H60" s="371"/>
      <c r="I60" s="371"/>
      <c r="J60" s="371"/>
      <c r="K60" s="371"/>
      <c r="L60" s="371"/>
      <c r="M60" s="371"/>
      <c r="N60" s="371"/>
    </row>
    <row r="61" spans="1:16" ht="14.4" customHeight="1" x14ac:dyDescent="0.3">
      <c r="A61" s="371"/>
      <c r="B61" s="371"/>
      <c r="C61" s="371"/>
      <c r="D61" s="371"/>
      <c r="E61" s="371"/>
      <c r="F61" s="371"/>
      <c r="G61" s="371"/>
      <c r="H61" s="371"/>
      <c r="I61" s="371"/>
      <c r="J61" s="371"/>
      <c r="K61" s="371"/>
      <c r="L61" s="371"/>
      <c r="M61" s="371"/>
      <c r="N61" s="371"/>
    </row>
    <row r="62" spans="1:16" ht="14.4" customHeight="1" x14ac:dyDescent="0.3">
      <c r="A62" s="371"/>
      <c r="B62" s="371"/>
      <c r="C62" s="371"/>
      <c r="D62" s="371"/>
      <c r="E62" s="371"/>
      <c r="F62" s="371"/>
      <c r="G62" s="371"/>
      <c r="H62" s="371"/>
      <c r="I62" s="371"/>
      <c r="J62" s="371"/>
      <c r="K62" s="371"/>
      <c r="L62" s="371"/>
      <c r="M62" s="371"/>
      <c r="N62" s="371"/>
    </row>
    <row r="63" spans="1:16" ht="14.4" customHeight="1" x14ac:dyDescent="0.3">
      <c r="A63" s="371"/>
      <c r="B63" s="371"/>
      <c r="C63" s="371"/>
      <c r="D63" s="371"/>
      <c r="E63" s="371"/>
      <c r="F63" s="371"/>
      <c r="G63" s="371"/>
      <c r="H63" s="371"/>
      <c r="I63" s="371"/>
      <c r="J63" s="371"/>
      <c r="K63" s="371"/>
      <c r="L63" s="371"/>
      <c r="M63" s="371"/>
      <c r="N63" s="371"/>
    </row>
    <row r="64" spans="1:16" ht="14.4" customHeight="1" x14ac:dyDescent="0.3">
      <c r="A64" s="371"/>
      <c r="B64" s="371"/>
      <c r="C64" s="371"/>
      <c r="D64" s="371"/>
      <c r="E64" s="371"/>
      <c r="F64" s="371"/>
      <c r="G64" s="371"/>
      <c r="H64" s="371"/>
      <c r="I64" s="371"/>
      <c r="J64" s="371"/>
      <c r="K64" s="371"/>
      <c r="L64" s="371"/>
      <c r="M64" s="371"/>
      <c r="N64" s="371"/>
    </row>
    <row r="65" spans="1:14" ht="14.4" customHeight="1" x14ac:dyDescent="0.3">
      <c r="A65" s="371"/>
      <c r="B65" s="371"/>
      <c r="C65" s="371"/>
      <c r="D65" s="371"/>
      <c r="E65" s="371"/>
      <c r="F65" s="371"/>
      <c r="G65" s="371"/>
      <c r="H65" s="371"/>
      <c r="I65" s="371"/>
      <c r="J65" s="371"/>
      <c r="K65" s="371"/>
      <c r="L65" s="371"/>
      <c r="M65" s="371"/>
      <c r="N65" s="371"/>
    </row>
    <row r="66" spans="1:14" ht="14.4" customHeight="1" x14ac:dyDescent="0.3">
      <c r="A66" s="371"/>
      <c r="B66" s="371"/>
      <c r="C66" s="371"/>
      <c r="D66" s="371"/>
      <c r="E66" s="371"/>
      <c r="F66" s="371"/>
      <c r="G66" s="371"/>
      <c r="H66" s="371"/>
      <c r="I66" s="371"/>
      <c r="J66" s="371"/>
      <c r="K66" s="371"/>
      <c r="L66" s="371"/>
      <c r="M66" s="371"/>
      <c r="N66" s="371"/>
    </row>
    <row r="67" spans="1:14" ht="144" customHeight="1" x14ac:dyDescent="0.3">
      <c r="A67" s="371"/>
      <c r="B67" s="371"/>
      <c r="C67" s="371"/>
      <c r="D67" s="371"/>
      <c r="E67" s="371"/>
      <c r="F67" s="371"/>
      <c r="G67" s="371"/>
      <c r="H67" s="371"/>
      <c r="I67" s="371"/>
      <c r="J67" s="371"/>
      <c r="K67" s="371"/>
      <c r="L67" s="371"/>
      <c r="M67" s="371"/>
      <c r="N67" s="371"/>
    </row>
    <row r="68" spans="1:14" ht="14.4" customHeight="1" x14ac:dyDescent="0.3">
      <c r="A68" s="51"/>
      <c r="M68" s="213"/>
    </row>
    <row r="69" spans="1:14" x14ac:dyDescent="0.3">
      <c r="A69" s="51"/>
      <c r="M69" s="209"/>
    </row>
  </sheetData>
  <mergeCells count="36">
    <mergeCell ref="K30:L31"/>
    <mergeCell ref="K2:L2"/>
    <mergeCell ref="B51:C52"/>
    <mergeCell ref="K51:L52"/>
    <mergeCell ref="P34:P52"/>
    <mergeCell ref="D34:D52"/>
    <mergeCell ref="E51:F52"/>
    <mergeCell ref="H51:I52"/>
    <mergeCell ref="M34:M52"/>
    <mergeCell ref="G34:G52"/>
    <mergeCell ref="J34:J52"/>
    <mergeCell ref="E34:F34"/>
    <mergeCell ref="H34:I34"/>
    <mergeCell ref="K34:L34"/>
    <mergeCell ref="A55:N67"/>
    <mergeCell ref="N34:O34"/>
    <mergeCell ref="N51:O52"/>
    <mergeCell ref="A34:A52"/>
    <mergeCell ref="B34:C34"/>
    <mergeCell ref="A53:P53"/>
    <mergeCell ref="A33:P33"/>
    <mergeCell ref="B32:M32"/>
    <mergeCell ref="A1:A32"/>
    <mergeCell ref="B1:M1"/>
    <mergeCell ref="B2:C2"/>
    <mergeCell ref="E2:F2"/>
    <mergeCell ref="H2:I2"/>
    <mergeCell ref="B16:C17"/>
    <mergeCell ref="J2:J31"/>
    <mergeCell ref="G2:G31"/>
    <mergeCell ref="M2:M31"/>
    <mergeCell ref="D2:D31"/>
    <mergeCell ref="B30:C31"/>
    <mergeCell ref="K18:L18"/>
    <mergeCell ref="H18:I18"/>
    <mergeCell ref="K16:L17"/>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A44D75-5D0D-4721-A181-E049418FA6AC}">
  <dimension ref="A1:J190"/>
  <sheetViews>
    <sheetView showGridLines="0" tabSelected="1" zoomScale="85" zoomScaleNormal="85" workbookViewId="0">
      <pane ySplit="1" topLeftCell="A96" activePane="bottomLeft" state="frozen"/>
      <selection pane="bottomLeft" activeCell="C101" sqref="C101"/>
    </sheetView>
  </sheetViews>
  <sheetFormatPr defaultRowHeight="14.4" x14ac:dyDescent="0.3"/>
  <cols>
    <col min="1" max="1" width="5.5546875" customWidth="1"/>
    <col min="2" max="2" width="19.88671875" style="1" customWidth="1"/>
    <col min="3" max="3" width="44" style="27" customWidth="1"/>
    <col min="4" max="4" width="41.88671875" style="237" customWidth="1"/>
    <col min="5" max="5" width="41.88671875" style="27" customWidth="1"/>
    <col min="6" max="10" width="34.33203125" style="27" customWidth="1"/>
  </cols>
  <sheetData>
    <row r="1" spans="1:10" ht="28.8" x14ac:dyDescent="0.3">
      <c r="A1" s="238" t="s">
        <v>1172</v>
      </c>
      <c r="B1" s="239" t="s">
        <v>6</v>
      </c>
      <c r="C1" s="243" t="s">
        <v>1171</v>
      </c>
      <c r="D1" s="240" t="s">
        <v>1173</v>
      </c>
      <c r="E1" s="240" t="s">
        <v>1174</v>
      </c>
      <c r="F1" s="240" t="s">
        <v>1170</v>
      </c>
      <c r="G1" s="240" t="s">
        <v>1169</v>
      </c>
      <c r="H1" s="240" t="s">
        <v>1168</v>
      </c>
      <c r="I1" s="240" t="s">
        <v>1167</v>
      </c>
      <c r="J1" s="240" t="s">
        <v>1193</v>
      </c>
    </row>
    <row r="2" spans="1:10" ht="150" customHeight="1" x14ac:dyDescent="0.3">
      <c r="A2" s="61">
        <v>1</v>
      </c>
      <c r="B2" s="24" t="s">
        <v>11</v>
      </c>
      <c r="C2" s="39" t="s">
        <v>1177</v>
      </c>
      <c r="D2" s="21" t="s">
        <v>1176</v>
      </c>
      <c r="E2" s="21" t="s">
        <v>1181</v>
      </c>
      <c r="F2" s="21" t="s">
        <v>1178</v>
      </c>
      <c r="G2" s="21" t="s">
        <v>33</v>
      </c>
      <c r="H2" s="21" t="s">
        <v>33</v>
      </c>
      <c r="I2" s="21" t="s">
        <v>33</v>
      </c>
      <c r="J2" s="244" t="s">
        <v>33</v>
      </c>
    </row>
    <row r="3" spans="1:10" ht="150" customHeight="1" x14ac:dyDescent="0.3">
      <c r="A3" s="61">
        <v>2</v>
      </c>
      <c r="B3" s="24" t="s">
        <v>16</v>
      </c>
      <c r="C3" s="39" t="s">
        <v>1175</v>
      </c>
      <c r="D3" s="21" t="s">
        <v>33</v>
      </c>
      <c r="E3" s="21" t="s">
        <v>1180</v>
      </c>
      <c r="F3" s="21" t="s">
        <v>1178</v>
      </c>
      <c r="G3" s="21" t="s">
        <v>33</v>
      </c>
      <c r="H3" s="21" t="s">
        <v>33</v>
      </c>
      <c r="I3" s="21" t="s">
        <v>33</v>
      </c>
      <c r="J3" s="244" t="s">
        <v>33</v>
      </c>
    </row>
    <row r="4" spans="1:10" ht="150" customHeight="1" x14ac:dyDescent="0.3">
      <c r="A4" s="61">
        <v>3</v>
      </c>
      <c r="B4" s="24" t="s">
        <v>15</v>
      </c>
      <c r="C4" s="39" t="s">
        <v>1182</v>
      </c>
      <c r="D4" s="21" t="s">
        <v>33</v>
      </c>
      <c r="E4" s="21" t="s">
        <v>1188</v>
      </c>
      <c r="F4" s="21" t="s">
        <v>1183</v>
      </c>
      <c r="G4" s="21" t="s">
        <v>1186</v>
      </c>
      <c r="H4" s="21" t="s">
        <v>1184</v>
      </c>
      <c r="I4" s="21" t="s">
        <v>1187</v>
      </c>
      <c r="J4" s="21" t="s">
        <v>1185</v>
      </c>
    </row>
    <row r="5" spans="1:10" ht="150" customHeight="1" x14ac:dyDescent="0.3">
      <c r="A5" s="61">
        <v>4</v>
      </c>
      <c r="B5" s="24" t="s">
        <v>23</v>
      </c>
      <c r="C5" s="39" t="s">
        <v>1192</v>
      </c>
      <c r="D5" s="21" t="s">
        <v>1190</v>
      </c>
      <c r="E5" s="21" t="s">
        <v>1188</v>
      </c>
      <c r="F5" s="21" t="s">
        <v>1183</v>
      </c>
      <c r="G5" s="21" t="s">
        <v>1186</v>
      </c>
      <c r="H5" s="21" t="s">
        <v>1184</v>
      </c>
      <c r="I5" s="21" t="s">
        <v>1187</v>
      </c>
      <c r="J5" s="21" t="s">
        <v>1185</v>
      </c>
    </row>
    <row r="6" spans="1:10" ht="150" customHeight="1" x14ac:dyDescent="0.3">
      <c r="A6" s="61">
        <v>5</v>
      </c>
      <c r="B6" s="24" t="s">
        <v>21</v>
      </c>
      <c r="C6" s="39" t="s">
        <v>1175</v>
      </c>
      <c r="D6" s="21" t="s">
        <v>33</v>
      </c>
      <c r="E6" s="21" t="s">
        <v>1194</v>
      </c>
      <c r="F6" s="21" t="s">
        <v>1183</v>
      </c>
      <c r="G6" s="21" t="s">
        <v>1186</v>
      </c>
      <c r="H6" s="21" t="s">
        <v>1184</v>
      </c>
      <c r="I6" s="21" t="s">
        <v>1187</v>
      </c>
      <c r="J6" s="21" t="s">
        <v>1185</v>
      </c>
    </row>
    <row r="7" spans="1:10" ht="150" customHeight="1" x14ac:dyDescent="0.3">
      <c r="A7" s="61">
        <v>6</v>
      </c>
      <c r="B7" s="24" t="s">
        <v>12</v>
      </c>
      <c r="C7" s="39" t="s">
        <v>1255</v>
      </c>
      <c r="D7" s="21" t="s">
        <v>1195</v>
      </c>
      <c r="E7" s="21" t="s">
        <v>1194</v>
      </c>
      <c r="F7" s="21" t="s">
        <v>1183</v>
      </c>
      <c r="G7" s="21" t="s">
        <v>1186</v>
      </c>
      <c r="H7" s="21" t="s">
        <v>1184</v>
      </c>
      <c r="I7" s="21" t="s">
        <v>1187</v>
      </c>
      <c r="J7" s="21" t="s">
        <v>1185</v>
      </c>
    </row>
    <row r="8" spans="1:10" ht="150" customHeight="1" x14ac:dyDescent="0.3">
      <c r="A8" s="61">
        <v>7</v>
      </c>
      <c r="B8" s="24" t="s">
        <v>13</v>
      </c>
      <c r="C8" s="39" t="s">
        <v>1255</v>
      </c>
      <c r="D8" s="21" t="s">
        <v>1195</v>
      </c>
      <c r="E8" s="21" t="s">
        <v>1194</v>
      </c>
      <c r="F8" s="21" t="s">
        <v>1183</v>
      </c>
      <c r="G8" s="21" t="s">
        <v>1186</v>
      </c>
      <c r="H8" s="21" t="s">
        <v>1184</v>
      </c>
      <c r="I8" s="21" t="s">
        <v>1187</v>
      </c>
      <c r="J8" s="21" t="s">
        <v>1185</v>
      </c>
    </row>
    <row r="9" spans="1:10" ht="150" customHeight="1" x14ac:dyDescent="0.3">
      <c r="A9" s="61">
        <v>8</v>
      </c>
      <c r="B9" s="24" t="s">
        <v>17</v>
      </c>
      <c r="C9" s="39" t="s">
        <v>1175</v>
      </c>
      <c r="D9" s="21" t="s">
        <v>1195</v>
      </c>
      <c r="E9" s="21" t="s">
        <v>1194</v>
      </c>
      <c r="F9" s="21" t="s">
        <v>1183</v>
      </c>
      <c r="G9" s="21" t="s">
        <v>1186</v>
      </c>
      <c r="H9" s="21" t="s">
        <v>1184</v>
      </c>
      <c r="I9" s="21" t="s">
        <v>1187</v>
      </c>
      <c r="J9" s="21" t="s">
        <v>1185</v>
      </c>
    </row>
    <row r="10" spans="1:10" ht="150" customHeight="1" x14ac:dyDescent="0.3">
      <c r="A10" s="61">
        <v>9</v>
      </c>
      <c r="B10" s="24" t="s">
        <v>20</v>
      </c>
      <c r="C10" s="39" t="s">
        <v>1255</v>
      </c>
      <c r="D10" s="21" t="s">
        <v>33</v>
      </c>
      <c r="E10" s="246" t="s">
        <v>33</v>
      </c>
      <c r="F10" s="21" t="s">
        <v>1183</v>
      </c>
      <c r="G10" s="21" t="s">
        <v>1186</v>
      </c>
      <c r="H10" s="21" t="s">
        <v>1184</v>
      </c>
      <c r="I10" s="21" t="s">
        <v>1187</v>
      </c>
      <c r="J10" s="21" t="s">
        <v>1185</v>
      </c>
    </row>
    <row r="11" spans="1:10" ht="150" customHeight="1" x14ac:dyDescent="0.3">
      <c r="A11" s="61">
        <v>10</v>
      </c>
      <c r="B11" s="24" t="s">
        <v>45</v>
      </c>
      <c r="C11" s="39" t="s">
        <v>1206</v>
      </c>
      <c r="D11" s="21" t="s">
        <v>33</v>
      </c>
      <c r="E11" s="21" t="s">
        <v>1205</v>
      </c>
      <c r="F11" s="21" t="s">
        <v>1201</v>
      </c>
      <c r="G11" s="21" t="s">
        <v>1202</v>
      </c>
      <c r="H11" s="21">
        <v>0</v>
      </c>
      <c r="I11" s="21" t="s">
        <v>1203</v>
      </c>
      <c r="J11" s="244" t="s">
        <v>1204</v>
      </c>
    </row>
    <row r="12" spans="1:10" ht="150" customHeight="1" x14ac:dyDescent="0.3">
      <c r="A12" s="61">
        <v>12</v>
      </c>
      <c r="B12" s="24" t="s">
        <v>50</v>
      </c>
      <c r="C12" s="39" t="s">
        <v>1207</v>
      </c>
      <c r="D12" s="21" t="s">
        <v>33</v>
      </c>
      <c r="E12" s="21" t="s">
        <v>1205</v>
      </c>
      <c r="F12" s="21" t="s">
        <v>1201</v>
      </c>
      <c r="G12" s="21" t="s">
        <v>1202</v>
      </c>
      <c r="H12" s="21">
        <v>0</v>
      </c>
      <c r="I12" s="21" t="s">
        <v>1203</v>
      </c>
      <c r="J12" s="244" t="s">
        <v>1204</v>
      </c>
    </row>
    <row r="13" spans="1:10" ht="150" customHeight="1" x14ac:dyDescent="0.3">
      <c r="A13" s="61">
        <v>13</v>
      </c>
      <c r="B13" s="24" t="s">
        <v>56</v>
      </c>
      <c r="C13" s="39" t="s">
        <v>1208</v>
      </c>
      <c r="D13" s="21" t="s">
        <v>33</v>
      </c>
      <c r="E13" s="21" t="s">
        <v>1205</v>
      </c>
      <c r="F13" s="21" t="s">
        <v>1201</v>
      </c>
      <c r="G13" s="21" t="s">
        <v>1202</v>
      </c>
      <c r="H13" s="21">
        <v>0</v>
      </c>
      <c r="I13" s="21" t="s">
        <v>1203</v>
      </c>
      <c r="J13" s="244" t="s">
        <v>1204</v>
      </c>
    </row>
    <row r="14" spans="1:10" ht="150" customHeight="1" x14ac:dyDescent="0.3">
      <c r="A14" s="61">
        <v>14</v>
      </c>
      <c r="B14" s="24" t="s">
        <v>131</v>
      </c>
      <c r="C14" s="39" t="s">
        <v>1215</v>
      </c>
      <c r="D14" s="21" t="s">
        <v>33</v>
      </c>
      <c r="E14" s="21" t="s">
        <v>1205</v>
      </c>
      <c r="F14" s="21" t="s">
        <v>1201</v>
      </c>
      <c r="G14" s="21" t="s">
        <v>1202</v>
      </c>
      <c r="H14" s="21">
        <v>0</v>
      </c>
      <c r="I14" s="21" t="s">
        <v>1203</v>
      </c>
      <c r="J14" s="244" t="s">
        <v>1204</v>
      </c>
    </row>
    <row r="15" spans="1:10" ht="150" customHeight="1" x14ac:dyDescent="0.3">
      <c r="A15" s="61">
        <v>15</v>
      </c>
      <c r="B15" s="24" t="s">
        <v>61</v>
      </c>
      <c r="C15" s="39" t="s">
        <v>1214</v>
      </c>
      <c r="D15" s="21" t="s">
        <v>33</v>
      </c>
      <c r="E15" s="246" t="s">
        <v>33</v>
      </c>
      <c r="F15" s="21" t="s">
        <v>1201</v>
      </c>
      <c r="G15" s="21" t="s">
        <v>1202</v>
      </c>
      <c r="H15" s="21">
        <v>0</v>
      </c>
      <c r="I15" s="21" t="s">
        <v>1203</v>
      </c>
      <c r="J15" s="244" t="s">
        <v>1204</v>
      </c>
    </row>
    <row r="16" spans="1:10" ht="150" customHeight="1" x14ac:dyDescent="0.3">
      <c r="A16" s="61">
        <v>16</v>
      </c>
      <c r="B16" s="25" t="s">
        <v>276</v>
      </c>
      <c r="C16" s="39" t="s">
        <v>1209</v>
      </c>
      <c r="D16" s="21" t="s">
        <v>33</v>
      </c>
      <c r="E16" s="21" t="s">
        <v>1205</v>
      </c>
      <c r="F16" s="21" t="s">
        <v>1201</v>
      </c>
      <c r="G16" s="21" t="s">
        <v>1202</v>
      </c>
      <c r="H16" s="21">
        <v>0</v>
      </c>
      <c r="I16" s="21" t="s">
        <v>1203</v>
      </c>
      <c r="J16" s="244" t="s">
        <v>1204</v>
      </c>
    </row>
    <row r="17" spans="1:10" ht="150" customHeight="1" x14ac:dyDescent="0.3">
      <c r="A17" s="61">
        <v>17</v>
      </c>
      <c r="B17" s="24" t="s">
        <v>65</v>
      </c>
      <c r="C17" s="39" t="s">
        <v>1208</v>
      </c>
      <c r="D17" s="21" t="s">
        <v>33</v>
      </c>
      <c r="E17" s="21" t="s">
        <v>1205</v>
      </c>
      <c r="F17" s="21" t="s">
        <v>1201</v>
      </c>
      <c r="G17" s="21" t="s">
        <v>1202</v>
      </c>
      <c r="H17" s="21">
        <v>0</v>
      </c>
      <c r="I17" s="21" t="s">
        <v>1203</v>
      </c>
      <c r="J17" s="244" t="s">
        <v>1204</v>
      </c>
    </row>
    <row r="18" spans="1:10" ht="150" customHeight="1" x14ac:dyDescent="0.3">
      <c r="A18" s="61">
        <v>18</v>
      </c>
      <c r="B18" s="25" t="s">
        <v>66</v>
      </c>
      <c r="C18" s="39" t="s">
        <v>1210</v>
      </c>
      <c r="D18" s="21" t="s">
        <v>33</v>
      </c>
      <c r="E18" s="21" t="s">
        <v>1205</v>
      </c>
      <c r="F18" s="21" t="s">
        <v>1201</v>
      </c>
      <c r="G18" s="21" t="s">
        <v>1202</v>
      </c>
      <c r="H18" s="21">
        <v>0</v>
      </c>
      <c r="I18" s="21" t="s">
        <v>1203</v>
      </c>
      <c r="J18" s="244" t="s">
        <v>1204</v>
      </c>
    </row>
    <row r="19" spans="1:10" ht="150" customHeight="1" x14ac:dyDescent="0.3">
      <c r="A19" s="61">
        <v>19</v>
      </c>
      <c r="B19" s="25" t="s">
        <v>68</v>
      </c>
      <c r="C19" s="39" t="s">
        <v>1211</v>
      </c>
      <c r="D19" s="21" t="s">
        <v>33</v>
      </c>
      <c r="E19" s="21" t="s">
        <v>1205</v>
      </c>
      <c r="F19" s="21" t="s">
        <v>1201</v>
      </c>
      <c r="G19" s="21" t="s">
        <v>1202</v>
      </c>
      <c r="H19" s="21">
        <v>0</v>
      </c>
      <c r="I19" s="21" t="s">
        <v>1203</v>
      </c>
      <c r="J19" s="244" t="s">
        <v>1204</v>
      </c>
    </row>
    <row r="20" spans="1:10" ht="150" customHeight="1" x14ac:dyDescent="0.3">
      <c r="A20" s="61">
        <v>20</v>
      </c>
      <c r="B20" s="24" t="s">
        <v>386</v>
      </c>
      <c r="C20" s="39" t="s">
        <v>1221</v>
      </c>
      <c r="D20" s="21" t="s">
        <v>33</v>
      </c>
      <c r="E20" s="21" t="s">
        <v>1224</v>
      </c>
      <c r="F20" s="21" t="s">
        <v>1217</v>
      </c>
      <c r="G20" s="21" t="s">
        <v>1219</v>
      </c>
      <c r="H20" s="21">
        <v>0</v>
      </c>
      <c r="I20" s="244" t="s">
        <v>1220</v>
      </c>
      <c r="J20" s="244" t="s">
        <v>1218</v>
      </c>
    </row>
    <row r="21" spans="1:10" ht="150" customHeight="1" x14ac:dyDescent="0.3">
      <c r="A21" s="61">
        <v>21</v>
      </c>
      <c r="B21" s="24" t="s">
        <v>387</v>
      </c>
      <c r="C21" s="39" t="s">
        <v>1221</v>
      </c>
      <c r="D21" s="21" t="s">
        <v>33</v>
      </c>
      <c r="E21" s="21" t="s">
        <v>1224</v>
      </c>
      <c r="F21" s="21" t="s">
        <v>1217</v>
      </c>
      <c r="G21" s="21" t="s">
        <v>1219</v>
      </c>
      <c r="H21" s="21">
        <v>0</v>
      </c>
      <c r="I21" s="244" t="s">
        <v>1220</v>
      </c>
      <c r="J21" s="244" t="s">
        <v>1218</v>
      </c>
    </row>
    <row r="22" spans="1:10" ht="150" customHeight="1" x14ac:dyDescent="0.3">
      <c r="A22" s="61">
        <v>22</v>
      </c>
      <c r="B22" s="24" t="s">
        <v>385</v>
      </c>
      <c r="C22" s="39" t="s">
        <v>1251</v>
      </c>
      <c r="D22" s="21" t="s">
        <v>33</v>
      </c>
      <c r="E22" s="21" t="s">
        <v>1224</v>
      </c>
      <c r="F22" s="21" t="s">
        <v>1217</v>
      </c>
      <c r="G22" s="21" t="s">
        <v>1219</v>
      </c>
      <c r="H22" s="21">
        <v>0</v>
      </c>
      <c r="I22" s="244" t="s">
        <v>1220</v>
      </c>
      <c r="J22" s="244" t="s">
        <v>1218</v>
      </c>
    </row>
    <row r="23" spans="1:10" ht="150" customHeight="1" x14ac:dyDescent="0.3">
      <c r="A23" s="61">
        <v>23</v>
      </c>
      <c r="B23" s="24" t="s">
        <v>388</v>
      </c>
      <c r="C23" s="39" t="s">
        <v>1252</v>
      </c>
      <c r="D23" s="21" t="s">
        <v>33</v>
      </c>
      <c r="E23" s="21" t="s">
        <v>1224</v>
      </c>
      <c r="F23" s="21" t="s">
        <v>1217</v>
      </c>
      <c r="G23" s="21" t="s">
        <v>1219</v>
      </c>
      <c r="H23" s="21">
        <v>0</v>
      </c>
      <c r="I23" s="244" t="s">
        <v>1220</v>
      </c>
      <c r="J23" s="244" t="s">
        <v>1218</v>
      </c>
    </row>
    <row r="24" spans="1:10" ht="150" customHeight="1" x14ac:dyDescent="0.3">
      <c r="A24" s="61">
        <v>24</v>
      </c>
      <c r="B24" s="24" t="s">
        <v>384</v>
      </c>
      <c r="C24" s="39" t="s">
        <v>1253</v>
      </c>
      <c r="D24" s="21" t="s">
        <v>33</v>
      </c>
      <c r="E24" s="21" t="s">
        <v>1224</v>
      </c>
      <c r="F24" s="21" t="s">
        <v>1217</v>
      </c>
      <c r="G24" s="21" t="s">
        <v>1219</v>
      </c>
      <c r="H24" s="21">
        <v>0</v>
      </c>
      <c r="I24" s="244" t="s">
        <v>1220</v>
      </c>
      <c r="J24" s="244" t="s">
        <v>1218</v>
      </c>
    </row>
    <row r="25" spans="1:10" ht="150" customHeight="1" x14ac:dyDescent="0.3">
      <c r="A25" s="61">
        <v>25</v>
      </c>
      <c r="B25" s="24" t="s">
        <v>383</v>
      </c>
      <c r="C25" s="39" t="s">
        <v>1256</v>
      </c>
      <c r="D25" s="21" t="s">
        <v>33</v>
      </c>
      <c r="E25" s="21" t="s">
        <v>1224</v>
      </c>
      <c r="F25" s="21" t="s">
        <v>1217</v>
      </c>
      <c r="G25" s="21" t="s">
        <v>1219</v>
      </c>
      <c r="H25" s="21">
        <v>0</v>
      </c>
      <c r="I25" s="244" t="s">
        <v>1220</v>
      </c>
      <c r="J25" s="244" t="s">
        <v>1218</v>
      </c>
    </row>
    <row r="26" spans="1:10" ht="150" customHeight="1" x14ac:dyDescent="0.3">
      <c r="A26" s="61">
        <v>26</v>
      </c>
      <c r="B26" s="24" t="s">
        <v>491</v>
      </c>
      <c r="C26" s="39" t="s">
        <v>1253</v>
      </c>
      <c r="D26" s="21" t="s">
        <v>33</v>
      </c>
      <c r="E26" s="21" t="s">
        <v>1224</v>
      </c>
      <c r="F26" s="21" t="s">
        <v>1217</v>
      </c>
      <c r="G26" s="21" t="s">
        <v>1219</v>
      </c>
      <c r="H26" s="21">
        <v>0</v>
      </c>
      <c r="I26" s="244" t="s">
        <v>1220</v>
      </c>
      <c r="J26" s="244" t="s">
        <v>1218</v>
      </c>
    </row>
    <row r="27" spans="1:10" ht="150" customHeight="1" x14ac:dyDescent="0.3">
      <c r="A27" s="61">
        <v>27</v>
      </c>
      <c r="B27" s="24" t="s">
        <v>397</v>
      </c>
      <c r="C27" s="39" t="s">
        <v>1254</v>
      </c>
      <c r="D27" s="21" t="s">
        <v>33</v>
      </c>
      <c r="E27" s="21" t="s">
        <v>1267</v>
      </c>
      <c r="F27" s="21" t="s">
        <v>1217</v>
      </c>
      <c r="G27" s="21" t="s">
        <v>1219</v>
      </c>
      <c r="H27" s="21">
        <v>0</v>
      </c>
      <c r="I27" s="244" t="s">
        <v>1220</v>
      </c>
      <c r="J27" s="244" t="s">
        <v>1218</v>
      </c>
    </row>
    <row r="28" spans="1:10" ht="150" customHeight="1" x14ac:dyDescent="0.3">
      <c r="A28" s="61">
        <v>28</v>
      </c>
      <c r="B28" s="25" t="s">
        <v>784</v>
      </c>
      <c r="C28" s="39" t="s">
        <v>1257</v>
      </c>
      <c r="D28" s="21" t="s">
        <v>33</v>
      </c>
      <c r="E28" s="21" t="s">
        <v>1224</v>
      </c>
      <c r="F28" s="21" t="s">
        <v>1217</v>
      </c>
      <c r="G28" s="21" t="s">
        <v>1219</v>
      </c>
      <c r="H28" s="21">
        <v>0</v>
      </c>
      <c r="I28" s="244" t="s">
        <v>1220</v>
      </c>
      <c r="J28" s="244" t="s">
        <v>1218</v>
      </c>
    </row>
    <row r="29" spans="1:10" ht="150" customHeight="1" x14ac:dyDescent="0.3">
      <c r="A29" s="61">
        <v>29</v>
      </c>
      <c r="B29" s="24" t="s">
        <v>392</v>
      </c>
      <c r="C29" s="39" t="s">
        <v>1258</v>
      </c>
      <c r="D29" s="21" t="s">
        <v>33</v>
      </c>
      <c r="E29" s="21" t="s">
        <v>1224</v>
      </c>
      <c r="F29" s="21" t="s">
        <v>1217</v>
      </c>
      <c r="G29" s="21" t="s">
        <v>1219</v>
      </c>
      <c r="H29" s="21">
        <v>0</v>
      </c>
      <c r="I29" s="244" t="s">
        <v>1220</v>
      </c>
      <c r="J29" s="244" t="s">
        <v>1218</v>
      </c>
    </row>
    <row r="30" spans="1:10" ht="150" customHeight="1" x14ac:dyDescent="0.3">
      <c r="A30" s="61">
        <v>30</v>
      </c>
      <c r="B30" s="25" t="s">
        <v>393</v>
      </c>
      <c r="C30" s="39" t="s">
        <v>1259</v>
      </c>
      <c r="D30" s="21" t="s">
        <v>33</v>
      </c>
      <c r="E30" s="21" t="s">
        <v>1224</v>
      </c>
      <c r="F30" s="21" t="s">
        <v>1217</v>
      </c>
      <c r="G30" s="21" t="s">
        <v>1219</v>
      </c>
      <c r="H30" s="21">
        <v>0</v>
      </c>
      <c r="I30" s="244" t="s">
        <v>1220</v>
      </c>
      <c r="J30" s="244" t="s">
        <v>1218</v>
      </c>
    </row>
    <row r="31" spans="1:10" ht="150" customHeight="1" x14ac:dyDescent="0.3">
      <c r="A31" s="61">
        <v>31</v>
      </c>
      <c r="B31" s="25" t="s">
        <v>391</v>
      </c>
      <c r="C31" s="39" t="s">
        <v>1260</v>
      </c>
      <c r="D31" s="21" t="s">
        <v>33</v>
      </c>
      <c r="E31" s="21" t="s">
        <v>1266</v>
      </c>
      <c r="F31" s="21" t="s">
        <v>1217</v>
      </c>
      <c r="G31" s="21" t="s">
        <v>1219</v>
      </c>
      <c r="H31" s="21">
        <v>0</v>
      </c>
      <c r="I31" s="244" t="s">
        <v>1220</v>
      </c>
      <c r="J31" s="244" t="s">
        <v>1218</v>
      </c>
    </row>
    <row r="32" spans="1:10" ht="150" customHeight="1" x14ac:dyDescent="0.3">
      <c r="A32" s="61">
        <v>32</v>
      </c>
      <c r="B32" s="25" t="s">
        <v>394</v>
      </c>
      <c r="C32" s="39" t="s">
        <v>1261</v>
      </c>
      <c r="D32" s="21" t="s">
        <v>33</v>
      </c>
      <c r="E32" s="21" t="s">
        <v>1224</v>
      </c>
      <c r="F32" s="21" t="s">
        <v>1217</v>
      </c>
      <c r="G32" s="21" t="s">
        <v>1219</v>
      </c>
      <c r="H32" s="21">
        <v>0</v>
      </c>
      <c r="I32" s="244" t="s">
        <v>1220</v>
      </c>
      <c r="J32" s="244" t="s">
        <v>1218</v>
      </c>
    </row>
    <row r="33" spans="1:10" ht="150" customHeight="1" x14ac:dyDescent="0.3">
      <c r="A33" s="61">
        <v>33</v>
      </c>
      <c r="B33" s="25" t="s">
        <v>395</v>
      </c>
      <c r="C33" s="39" t="s">
        <v>1262</v>
      </c>
      <c r="D33" s="21" t="s">
        <v>33</v>
      </c>
      <c r="E33" s="21" t="s">
        <v>1224</v>
      </c>
      <c r="F33" s="21" t="s">
        <v>1217</v>
      </c>
      <c r="G33" s="21" t="s">
        <v>1219</v>
      </c>
      <c r="H33" s="21">
        <v>0</v>
      </c>
      <c r="I33" s="244" t="s">
        <v>1220</v>
      </c>
      <c r="J33" s="244" t="s">
        <v>1218</v>
      </c>
    </row>
    <row r="34" spans="1:10" ht="150" customHeight="1" x14ac:dyDescent="0.3">
      <c r="A34" s="61">
        <v>34</v>
      </c>
      <c r="B34" s="25" t="s">
        <v>396</v>
      </c>
      <c r="C34" s="39" t="s">
        <v>1263</v>
      </c>
      <c r="D34" s="21" t="s">
        <v>33</v>
      </c>
      <c r="E34" s="21" t="s">
        <v>1224</v>
      </c>
      <c r="F34" s="21" t="s">
        <v>1217</v>
      </c>
      <c r="G34" s="21" t="s">
        <v>1219</v>
      </c>
      <c r="H34" s="21">
        <v>0</v>
      </c>
      <c r="I34" s="244" t="s">
        <v>1220</v>
      </c>
      <c r="J34" s="244" t="s">
        <v>1218</v>
      </c>
    </row>
    <row r="35" spans="1:10" s="51" customFormat="1" ht="150" customHeight="1" x14ac:dyDescent="0.3">
      <c r="A35" s="61">
        <v>35</v>
      </c>
      <c r="B35" s="24" t="s">
        <v>399</v>
      </c>
      <c r="C35" s="39" t="s">
        <v>1264</v>
      </c>
      <c r="D35" s="21" t="s">
        <v>33</v>
      </c>
      <c r="E35" s="21" t="s">
        <v>1265</v>
      </c>
      <c r="F35" s="21" t="s">
        <v>1217</v>
      </c>
      <c r="G35" s="21" t="s">
        <v>1219</v>
      </c>
      <c r="H35" s="21">
        <v>0</v>
      </c>
      <c r="I35" s="244" t="s">
        <v>1220</v>
      </c>
      <c r="J35" s="244" t="s">
        <v>1218</v>
      </c>
    </row>
    <row r="36" spans="1:10" ht="150" customHeight="1" x14ac:dyDescent="0.3">
      <c r="A36" s="61">
        <v>36</v>
      </c>
      <c r="B36" s="231" t="s">
        <v>132</v>
      </c>
      <c r="C36" s="39" t="s">
        <v>1274</v>
      </c>
      <c r="D36" s="241" t="s">
        <v>1268</v>
      </c>
      <c r="E36" s="241" t="s">
        <v>1277</v>
      </c>
      <c r="F36" s="241" t="s">
        <v>1269</v>
      </c>
      <c r="G36" s="241" t="s">
        <v>1270</v>
      </c>
      <c r="H36" s="241">
        <v>0</v>
      </c>
      <c r="I36" s="241" t="s">
        <v>1271</v>
      </c>
      <c r="J36" s="241" t="s">
        <v>1272</v>
      </c>
    </row>
    <row r="37" spans="1:10" ht="150" customHeight="1" x14ac:dyDescent="0.3">
      <c r="A37" s="61">
        <v>37</v>
      </c>
      <c r="B37" s="24" t="s">
        <v>138</v>
      </c>
      <c r="C37" s="39" t="s">
        <v>1275</v>
      </c>
      <c r="D37" s="241" t="s">
        <v>33</v>
      </c>
      <c r="E37" s="241" t="s">
        <v>1276</v>
      </c>
      <c r="F37" s="241" t="s">
        <v>1269</v>
      </c>
      <c r="G37" s="241" t="s">
        <v>1270</v>
      </c>
      <c r="H37" s="241">
        <v>0</v>
      </c>
      <c r="I37" s="241" t="s">
        <v>1271</v>
      </c>
      <c r="J37" s="241" t="s">
        <v>1272</v>
      </c>
    </row>
    <row r="38" spans="1:10" ht="150" customHeight="1" x14ac:dyDescent="0.3">
      <c r="A38" s="61">
        <v>38</v>
      </c>
      <c r="B38" s="24" t="s">
        <v>144</v>
      </c>
      <c r="C38" s="39" t="s">
        <v>1278</v>
      </c>
      <c r="D38" s="34" t="s">
        <v>1273</v>
      </c>
      <c r="E38" s="241" t="s">
        <v>1290</v>
      </c>
      <c r="F38" s="241" t="s">
        <v>1269</v>
      </c>
      <c r="G38" s="241" t="s">
        <v>1270</v>
      </c>
      <c r="H38" s="241">
        <v>0</v>
      </c>
      <c r="I38" s="241" t="s">
        <v>1271</v>
      </c>
      <c r="J38" s="241" t="s">
        <v>1272</v>
      </c>
    </row>
    <row r="39" spans="1:10" ht="150" customHeight="1" x14ac:dyDescent="0.3">
      <c r="A39" s="61">
        <v>39</v>
      </c>
      <c r="B39" s="231" t="s">
        <v>156</v>
      </c>
      <c r="C39" s="39" t="s">
        <v>1175</v>
      </c>
      <c r="D39" s="241" t="s">
        <v>33</v>
      </c>
      <c r="E39" s="21" t="s">
        <v>1280</v>
      </c>
      <c r="F39" s="241" t="s">
        <v>1281</v>
      </c>
      <c r="G39" s="241">
        <v>0</v>
      </c>
      <c r="H39" s="241" t="s">
        <v>33</v>
      </c>
      <c r="I39" s="241" t="s">
        <v>1271</v>
      </c>
      <c r="J39" s="245" t="s">
        <v>33</v>
      </c>
    </row>
    <row r="40" spans="1:10" ht="150" customHeight="1" x14ac:dyDescent="0.3">
      <c r="A40" s="61">
        <v>40</v>
      </c>
      <c r="B40" s="24" t="s">
        <v>157</v>
      </c>
      <c r="C40" s="39" t="s">
        <v>1282</v>
      </c>
      <c r="D40" s="241" t="s">
        <v>33</v>
      </c>
      <c r="E40" s="241" t="s">
        <v>1283</v>
      </c>
      <c r="F40" s="241" t="s">
        <v>1281</v>
      </c>
      <c r="G40" s="241">
        <v>0</v>
      </c>
      <c r="H40" s="241" t="s">
        <v>33</v>
      </c>
      <c r="I40" s="241" t="s">
        <v>1279</v>
      </c>
      <c r="J40" s="245" t="s">
        <v>33</v>
      </c>
    </row>
    <row r="41" spans="1:10" ht="150" customHeight="1" x14ac:dyDescent="0.3">
      <c r="A41" s="61">
        <v>41</v>
      </c>
      <c r="B41" s="24" t="s">
        <v>163</v>
      </c>
      <c r="C41" s="39" t="s">
        <v>1284</v>
      </c>
      <c r="D41" s="241" t="s">
        <v>33</v>
      </c>
      <c r="E41" s="241" t="s">
        <v>1289</v>
      </c>
      <c r="F41" s="241" t="s">
        <v>1281</v>
      </c>
      <c r="G41" s="241">
        <v>0</v>
      </c>
      <c r="H41" s="241" t="s">
        <v>33</v>
      </c>
      <c r="I41" s="241" t="s">
        <v>1271</v>
      </c>
      <c r="J41" s="245" t="s">
        <v>33</v>
      </c>
    </row>
    <row r="42" spans="1:10" ht="150" customHeight="1" x14ac:dyDescent="0.3">
      <c r="A42" s="61">
        <v>42</v>
      </c>
      <c r="B42" s="24" t="s">
        <v>290</v>
      </c>
      <c r="C42" s="39" t="s">
        <v>1285</v>
      </c>
      <c r="D42" s="241" t="s">
        <v>33</v>
      </c>
      <c r="E42" s="241" t="s">
        <v>1288</v>
      </c>
      <c r="F42" s="241" t="s">
        <v>1281</v>
      </c>
      <c r="G42" s="241">
        <v>0</v>
      </c>
      <c r="H42" s="241" t="s">
        <v>33</v>
      </c>
      <c r="I42" s="241" t="s">
        <v>1271</v>
      </c>
      <c r="J42" s="245" t="s">
        <v>33</v>
      </c>
    </row>
    <row r="43" spans="1:10" ht="150" customHeight="1" x14ac:dyDescent="0.3">
      <c r="A43" s="61">
        <v>43</v>
      </c>
      <c r="B43" s="24" t="s">
        <v>159</v>
      </c>
      <c r="C43" s="39" t="s">
        <v>1286</v>
      </c>
      <c r="D43" s="241" t="s">
        <v>33</v>
      </c>
      <c r="E43" s="241" t="s">
        <v>1287</v>
      </c>
      <c r="F43" s="241" t="s">
        <v>1281</v>
      </c>
      <c r="G43" s="241">
        <v>0</v>
      </c>
      <c r="H43" s="241" t="s">
        <v>33</v>
      </c>
      <c r="I43" s="241" t="s">
        <v>1271</v>
      </c>
      <c r="J43" s="245" t="s">
        <v>33</v>
      </c>
    </row>
    <row r="44" spans="1:10" ht="150" customHeight="1" x14ac:dyDescent="0.3">
      <c r="A44" s="61">
        <v>44</v>
      </c>
      <c r="B44" s="231" t="s">
        <v>183</v>
      </c>
      <c r="C44" s="39" t="s">
        <v>1295</v>
      </c>
      <c r="D44" s="241" t="s">
        <v>33</v>
      </c>
      <c r="E44" s="241" t="s">
        <v>1296</v>
      </c>
      <c r="F44" s="241" t="s">
        <v>1293</v>
      </c>
      <c r="G44" s="241" t="s">
        <v>33</v>
      </c>
      <c r="H44" s="241" t="s">
        <v>1292</v>
      </c>
      <c r="I44" s="241" t="s">
        <v>1294</v>
      </c>
      <c r="J44" s="245" t="s">
        <v>33</v>
      </c>
    </row>
    <row r="45" spans="1:10" ht="150" customHeight="1" x14ac:dyDescent="0.3">
      <c r="A45" s="61">
        <v>45</v>
      </c>
      <c r="B45" s="231" t="s">
        <v>184</v>
      </c>
      <c r="C45" s="39" t="s">
        <v>1295</v>
      </c>
      <c r="D45" s="241" t="s">
        <v>33</v>
      </c>
      <c r="E45" s="241" t="s">
        <v>1296</v>
      </c>
      <c r="F45" s="241" t="s">
        <v>1293</v>
      </c>
      <c r="G45" s="241" t="s">
        <v>33</v>
      </c>
      <c r="H45" s="241" t="s">
        <v>1292</v>
      </c>
      <c r="I45" s="241" t="s">
        <v>1294</v>
      </c>
      <c r="J45" s="245" t="s">
        <v>33</v>
      </c>
    </row>
    <row r="46" spans="1:10" ht="150" customHeight="1" x14ac:dyDescent="0.3">
      <c r="A46" s="61">
        <v>46</v>
      </c>
      <c r="B46" s="231" t="s">
        <v>189</v>
      </c>
      <c r="C46" s="39" t="s">
        <v>1297</v>
      </c>
      <c r="D46" s="241" t="s">
        <v>33</v>
      </c>
      <c r="E46" s="241" t="s">
        <v>1296</v>
      </c>
      <c r="F46" s="241" t="s">
        <v>1293</v>
      </c>
      <c r="G46" s="241" t="s">
        <v>33</v>
      </c>
      <c r="H46" s="241" t="s">
        <v>1292</v>
      </c>
      <c r="I46" s="241" t="s">
        <v>1294</v>
      </c>
      <c r="J46" s="245" t="s">
        <v>33</v>
      </c>
    </row>
    <row r="47" spans="1:10" ht="150" customHeight="1" x14ac:dyDescent="0.3">
      <c r="A47" s="61">
        <v>47</v>
      </c>
      <c r="B47" s="231" t="s">
        <v>188</v>
      </c>
      <c r="C47" s="39" t="s">
        <v>1297</v>
      </c>
      <c r="D47" s="241" t="s">
        <v>33</v>
      </c>
      <c r="E47" s="241" t="s">
        <v>1296</v>
      </c>
      <c r="F47" s="241" t="s">
        <v>1293</v>
      </c>
      <c r="G47" s="241" t="s">
        <v>33</v>
      </c>
      <c r="H47" s="241" t="s">
        <v>1292</v>
      </c>
      <c r="I47" s="241" t="s">
        <v>1294</v>
      </c>
      <c r="J47" s="245" t="s">
        <v>33</v>
      </c>
    </row>
    <row r="48" spans="1:10" ht="150" customHeight="1" x14ac:dyDescent="0.3">
      <c r="A48" s="61">
        <v>48</v>
      </c>
      <c r="B48" s="231" t="s">
        <v>187</v>
      </c>
      <c r="C48" s="39" t="s">
        <v>1297</v>
      </c>
      <c r="D48" s="241" t="s">
        <v>33</v>
      </c>
      <c r="E48" s="241" t="s">
        <v>1296</v>
      </c>
      <c r="F48" s="241" t="s">
        <v>1293</v>
      </c>
      <c r="G48" s="241" t="s">
        <v>33</v>
      </c>
      <c r="H48" s="241" t="s">
        <v>1292</v>
      </c>
      <c r="I48" s="241" t="s">
        <v>1294</v>
      </c>
      <c r="J48" s="245" t="s">
        <v>33</v>
      </c>
    </row>
    <row r="49" spans="1:10" ht="150" customHeight="1" x14ac:dyDescent="0.3">
      <c r="A49" s="61">
        <v>49</v>
      </c>
      <c r="B49" s="24" t="s">
        <v>186</v>
      </c>
      <c r="C49" s="39" t="s">
        <v>1297</v>
      </c>
      <c r="D49" s="241" t="s">
        <v>33</v>
      </c>
      <c r="E49" s="241" t="s">
        <v>1296</v>
      </c>
      <c r="F49" s="241" t="s">
        <v>1293</v>
      </c>
      <c r="G49" s="241" t="s">
        <v>33</v>
      </c>
      <c r="H49" s="241" t="s">
        <v>1292</v>
      </c>
      <c r="I49" s="241" t="s">
        <v>1294</v>
      </c>
      <c r="J49" s="245" t="s">
        <v>33</v>
      </c>
    </row>
    <row r="50" spans="1:10" ht="150" customHeight="1" x14ac:dyDescent="0.3">
      <c r="A50" s="61">
        <v>50</v>
      </c>
      <c r="B50" s="231" t="s">
        <v>190</v>
      </c>
      <c r="C50" s="39" t="s">
        <v>1298</v>
      </c>
      <c r="D50" s="241" t="s">
        <v>33</v>
      </c>
      <c r="E50" s="23" t="s">
        <v>33</v>
      </c>
      <c r="F50" s="241" t="s">
        <v>1293</v>
      </c>
      <c r="G50" s="241" t="s">
        <v>33</v>
      </c>
      <c r="H50" s="241" t="s">
        <v>1292</v>
      </c>
      <c r="I50" s="241" t="s">
        <v>1294</v>
      </c>
      <c r="J50" s="245" t="s">
        <v>33</v>
      </c>
    </row>
    <row r="51" spans="1:10" ht="150" customHeight="1" x14ac:dyDescent="0.3">
      <c r="A51" s="61">
        <v>51</v>
      </c>
      <c r="B51" s="24" t="s">
        <v>191</v>
      </c>
      <c r="C51" s="39" t="s">
        <v>1299</v>
      </c>
      <c r="D51" s="241" t="s">
        <v>33</v>
      </c>
      <c r="E51" s="23" t="s">
        <v>33</v>
      </c>
      <c r="F51" s="241" t="s">
        <v>1293</v>
      </c>
      <c r="G51" s="241" t="s">
        <v>33</v>
      </c>
      <c r="H51" s="241" t="s">
        <v>1292</v>
      </c>
      <c r="I51" s="241" t="s">
        <v>1294</v>
      </c>
      <c r="J51" s="245" t="s">
        <v>33</v>
      </c>
    </row>
    <row r="52" spans="1:10" ht="150" customHeight="1" x14ac:dyDescent="0.3">
      <c r="A52" s="61">
        <v>52</v>
      </c>
      <c r="B52" s="24" t="s">
        <v>221</v>
      </c>
      <c r="C52" s="39" t="s">
        <v>1175</v>
      </c>
      <c r="D52" s="21" t="s">
        <v>33</v>
      </c>
      <c r="E52" s="21" t="s">
        <v>1303</v>
      </c>
      <c r="F52" s="241" t="s">
        <v>1300</v>
      </c>
      <c r="G52" s="21" t="s">
        <v>33</v>
      </c>
      <c r="H52" s="241" t="s">
        <v>1292</v>
      </c>
      <c r="I52" s="241" t="s">
        <v>1301</v>
      </c>
      <c r="J52" s="241" t="s">
        <v>1302</v>
      </c>
    </row>
    <row r="53" spans="1:10" ht="150" customHeight="1" x14ac:dyDescent="0.3">
      <c r="A53" s="61">
        <v>53</v>
      </c>
      <c r="B53" s="24" t="s">
        <v>240</v>
      </c>
      <c r="C53" s="39" t="s">
        <v>1175</v>
      </c>
      <c r="D53" s="21" t="s">
        <v>33</v>
      </c>
      <c r="E53" s="21" t="s">
        <v>1303</v>
      </c>
      <c r="F53" s="241" t="s">
        <v>1300</v>
      </c>
      <c r="G53" s="21" t="s">
        <v>33</v>
      </c>
      <c r="H53" s="241" t="s">
        <v>1292</v>
      </c>
      <c r="I53" s="241" t="s">
        <v>1301</v>
      </c>
      <c r="J53" s="241" t="s">
        <v>1304</v>
      </c>
    </row>
    <row r="54" spans="1:10" ht="150" customHeight="1" x14ac:dyDescent="0.3">
      <c r="A54" s="61">
        <v>54</v>
      </c>
      <c r="B54" s="24" t="s">
        <v>222</v>
      </c>
      <c r="C54" s="39" t="s">
        <v>1175</v>
      </c>
      <c r="D54" s="21" t="s">
        <v>33</v>
      </c>
      <c r="E54" s="21" t="s">
        <v>1303</v>
      </c>
      <c r="F54" s="241" t="s">
        <v>1300</v>
      </c>
      <c r="G54" s="21" t="s">
        <v>33</v>
      </c>
      <c r="H54" s="241" t="s">
        <v>1292</v>
      </c>
      <c r="I54" s="241" t="s">
        <v>1301</v>
      </c>
      <c r="J54" s="241" t="s">
        <v>1305</v>
      </c>
    </row>
    <row r="55" spans="1:10" ht="150" customHeight="1" x14ac:dyDescent="0.3">
      <c r="A55" s="61">
        <v>55</v>
      </c>
      <c r="B55" s="24" t="s">
        <v>223</v>
      </c>
      <c r="C55" s="39" t="s">
        <v>1175</v>
      </c>
      <c r="D55" s="21" t="s">
        <v>33</v>
      </c>
      <c r="E55" s="21" t="s">
        <v>1303</v>
      </c>
      <c r="F55" s="241" t="s">
        <v>1300</v>
      </c>
      <c r="G55" s="21" t="s">
        <v>33</v>
      </c>
      <c r="H55" s="241" t="s">
        <v>1292</v>
      </c>
      <c r="I55" s="241" t="s">
        <v>1301</v>
      </c>
      <c r="J55" s="241" t="s">
        <v>1306</v>
      </c>
    </row>
    <row r="56" spans="1:10" ht="150" customHeight="1" x14ac:dyDescent="0.3">
      <c r="A56" s="61">
        <v>56</v>
      </c>
      <c r="B56" s="24" t="s">
        <v>225</v>
      </c>
      <c r="C56" s="39" t="s">
        <v>1175</v>
      </c>
      <c r="D56" s="21" t="s">
        <v>33</v>
      </c>
      <c r="E56" s="21" t="s">
        <v>1303</v>
      </c>
      <c r="F56" s="241" t="s">
        <v>1300</v>
      </c>
      <c r="G56" s="21" t="s">
        <v>33</v>
      </c>
      <c r="H56" s="241" t="s">
        <v>1292</v>
      </c>
      <c r="I56" s="241" t="s">
        <v>1301</v>
      </c>
      <c r="J56" s="241" t="s">
        <v>1307</v>
      </c>
    </row>
    <row r="57" spans="1:10" ht="150" customHeight="1" x14ac:dyDescent="0.3">
      <c r="A57" s="61">
        <v>57</v>
      </c>
      <c r="B57" s="24" t="s">
        <v>224</v>
      </c>
      <c r="C57" s="39" t="s">
        <v>1175</v>
      </c>
      <c r="D57" s="21" t="s">
        <v>33</v>
      </c>
      <c r="E57" s="21" t="s">
        <v>1303</v>
      </c>
      <c r="F57" s="241" t="s">
        <v>1300</v>
      </c>
      <c r="G57" s="21" t="s">
        <v>33</v>
      </c>
      <c r="H57" s="241" t="s">
        <v>1292</v>
      </c>
      <c r="I57" s="241" t="s">
        <v>1301</v>
      </c>
      <c r="J57" s="241" t="s">
        <v>1308</v>
      </c>
    </row>
    <row r="58" spans="1:10" ht="150" customHeight="1" x14ac:dyDescent="0.3">
      <c r="A58" s="61">
        <v>58</v>
      </c>
      <c r="B58" s="24" t="s">
        <v>226</v>
      </c>
      <c r="C58" s="39" t="s">
        <v>1175</v>
      </c>
      <c r="D58" s="21" t="s">
        <v>33</v>
      </c>
      <c r="E58" s="21" t="s">
        <v>1303</v>
      </c>
      <c r="F58" s="241" t="s">
        <v>1300</v>
      </c>
      <c r="G58" s="21" t="s">
        <v>33</v>
      </c>
      <c r="H58" s="241" t="s">
        <v>1292</v>
      </c>
      <c r="I58" s="241" t="s">
        <v>1301</v>
      </c>
      <c r="J58" s="241" t="s">
        <v>33</v>
      </c>
    </row>
    <row r="59" spans="1:10" ht="150" customHeight="1" x14ac:dyDescent="0.3">
      <c r="A59" s="61">
        <v>59</v>
      </c>
      <c r="B59" s="231" t="s">
        <v>250</v>
      </c>
      <c r="C59" s="39" t="s">
        <v>1175</v>
      </c>
      <c r="D59" s="21" t="s">
        <v>33</v>
      </c>
      <c r="E59" s="21" t="s">
        <v>1341</v>
      </c>
      <c r="F59" s="21" t="s">
        <v>1183</v>
      </c>
      <c r="G59" s="21">
        <v>0</v>
      </c>
      <c r="H59" s="21">
        <v>0</v>
      </c>
      <c r="I59" s="21">
        <v>0</v>
      </c>
      <c r="J59" s="21">
        <v>0</v>
      </c>
    </row>
    <row r="60" spans="1:10" ht="150" customHeight="1" x14ac:dyDescent="0.3">
      <c r="A60" s="61">
        <v>60</v>
      </c>
      <c r="B60" s="24" t="s">
        <v>251</v>
      </c>
      <c r="C60" s="39" t="s">
        <v>1342</v>
      </c>
      <c r="D60" s="21" t="s">
        <v>33</v>
      </c>
      <c r="E60" s="21" t="s">
        <v>0</v>
      </c>
      <c r="F60" s="21" t="s">
        <v>1183</v>
      </c>
      <c r="G60" s="21">
        <v>0</v>
      </c>
      <c r="H60" s="21">
        <v>0</v>
      </c>
      <c r="I60" s="21">
        <v>0</v>
      </c>
      <c r="J60" s="21">
        <v>0</v>
      </c>
    </row>
    <row r="61" spans="1:10" ht="150" customHeight="1" x14ac:dyDescent="0.3">
      <c r="A61" s="61">
        <v>61</v>
      </c>
      <c r="B61" s="24" t="s">
        <v>253</v>
      </c>
      <c r="C61" s="39" t="s">
        <v>1343</v>
      </c>
      <c r="D61" s="21" t="s">
        <v>33</v>
      </c>
      <c r="E61" s="21" t="s">
        <v>1345</v>
      </c>
      <c r="F61" s="21" t="s">
        <v>1183</v>
      </c>
      <c r="G61" s="21">
        <v>0</v>
      </c>
      <c r="H61" s="21">
        <v>0</v>
      </c>
      <c r="I61" s="21">
        <v>0</v>
      </c>
      <c r="J61" s="21">
        <v>0</v>
      </c>
    </row>
    <row r="62" spans="1:10" ht="150" customHeight="1" x14ac:dyDescent="0.3">
      <c r="A62" s="61">
        <v>62</v>
      </c>
      <c r="B62" s="24" t="s">
        <v>252</v>
      </c>
      <c r="C62" s="39" t="s">
        <v>1344</v>
      </c>
      <c r="D62" s="21" t="s">
        <v>33</v>
      </c>
      <c r="E62" s="21" t="s">
        <v>0</v>
      </c>
      <c r="F62" s="21" t="s">
        <v>1183</v>
      </c>
      <c r="G62" s="21">
        <v>0</v>
      </c>
      <c r="H62" s="21">
        <v>0</v>
      </c>
      <c r="I62" s="21">
        <v>0</v>
      </c>
      <c r="J62" s="21">
        <v>0</v>
      </c>
    </row>
    <row r="63" spans="1:10" ht="150" customHeight="1" x14ac:dyDescent="0.3">
      <c r="A63" s="61">
        <v>63</v>
      </c>
      <c r="B63" s="231" t="s">
        <v>346</v>
      </c>
      <c r="C63" s="39" t="s">
        <v>1331</v>
      </c>
      <c r="D63" s="21" t="s">
        <v>33</v>
      </c>
      <c r="E63" s="21" t="s">
        <v>0</v>
      </c>
      <c r="F63" s="21" t="s">
        <v>1183</v>
      </c>
      <c r="G63" s="21">
        <v>0</v>
      </c>
      <c r="H63" s="21">
        <v>0</v>
      </c>
      <c r="I63" s="21">
        <v>0</v>
      </c>
      <c r="J63" s="21">
        <v>0</v>
      </c>
    </row>
    <row r="64" spans="1:10" ht="150" customHeight="1" x14ac:dyDescent="0.3">
      <c r="A64" s="61">
        <v>64</v>
      </c>
      <c r="B64" s="24" t="s">
        <v>347</v>
      </c>
      <c r="C64" s="39" t="s">
        <v>1333</v>
      </c>
      <c r="D64" s="21" t="s">
        <v>33</v>
      </c>
      <c r="E64" s="21" t="s">
        <v>0</v>
      </c>
      <c r="F64" s="21" t="s">
        <v>1183</v>
      </c>
      <c r="G64" s="21">
        <v>0</v>
      </c>
      <c r="H64" s="21">
        <v>0</v>
      </c>
      <c r="I64" s="21">
        <v>0</v>
      </c>
      <c r="J64" s="21">
        <v>0</v>
      </c>
    </row>
    <row r="65" spans="1:10" ht="150" customHeight="1" x14ac:dyDescent="0.3">
      <c r="A65" s="61">
        <v>65</v>
      </c>
      <c r="B65" s="24" t="s">
        <v>348</v>
      </c>
      <c r="C65" s="39" t="s">
        <v>1331</v>
      </c>
      <c r="D65" s="21" t="s">
        <v>33</v>
      </c>
      <c r="E65" s="21" t="s">
        <v>33</v>
      </c>
      <c r="F65" s="21" t="s">
        <v>1183</v>
      </c>
      <c r="G65" s="21">
        <v>0</v>
      </c>
      <c r="H65" s="21">
        <v>0</v>
      </c>
      <c r="I65" s="21">
        <v>0</v>
      </c>
      <c r="J65" s="21">
        <v>0</v>
      </c>
    </row>
    <row r="66" spans="1:10" ht="150" customHeight="1" x14ac:dyDescent="0.3">
      <c r="A66" s="61">
        <v>66</v>
      </c>
      <c r="B66" s="24" t="s">
        <v>349</v>
      </c>
      <c r="C66" s="39" t="s">
        <v>1334</v>
      </c>
      <c r="D66" s="21" t="s">
        <v>33</v>
      </c>
      <c r="E66" s="21" t="s">
        <v>1335</v>
      </c>
      <c r="F66" s="21" t="s">
        <v>1183</v>
      </c>
      <c r="G66" s="21">
        <v>0</v>
      </c>
      <c r="H66" s="21">
        <v>0</v>
      </c>
      <c r="I66" s="21">
        <v>0</v>
      </c>
      <c r="J66" s="21">
        <v>0</v>
      </c>
    </row>
    <row r="67" spans="1:10" ht="150" customHeight="1" x14ac:dyDescent="0.3">
      <c r="A67" s="61">
        <v>67</v>
      </c>
      <c r="B67" s="24" t="s">
        <v>369</v>
      </c>
      <c r="C67" s="39" t="s">
        <v>1332</v>
      </c>
      <c r="D67" s="21" t="s">
        <v>33</v>
      </c>
      <c r="E67" s="21" t="s">
        <v>0</v>
      </c>
      <c r="F67" s="21" t="s">
        <v>1183</v>
      </c>
      <c r="G67" s="21">
        <v>0</v>
      </c>
      <c r="H67" s="21">
        <v>0</v>
      </c>
      <c r="I67" s="21">
        <v>0</v>
      </c>
      <c r="J67" s="21">
        <v>0</v>
      </c>
    </row>
    <row r="68" spans="1:10" ht="150" customHeight="1" x14ac:dyDescent="0.3">
      <c r="A68" s="61">
        <v>68</v>
      </c>
      <c r="B68" s="231" t="s">
        <v>123</v>
      </c>
      <c r="C68" s="39" t="s">
        <v>1328</v>
      </c>
      <c r="D68" s="21" t="s">
        <v>1325</v>
      </c>
      <c r="E68" s="21" t="s">
        <v>1326</v>
      </c>
      <c r="F68" s="21">
        <v>0</v>
      </c>
      <c r="G68" s="21" t="s">
        <v>33</v>
      </c>
      <c r="H68" s="21" t="s">
        <v>33</v>
      </c>
      <c r="I68" s="21" t="s">
        <v>33</v>
      </c>
      <c r="J68" s="21" t="s">
        <v>33</v>
      </c>
    </row>
    <row r="69" spans="1:10" ht="150" customHeight="1" x14ac:dyDescent="0.3">
      <c r="A69" s="61">
        <v>69</v>
      </c>
      <c r="B69" s="24" t="s">
        <v>122</v>
      </c>
      <c r="C69" s="39" t="s">
        <v>1330</v>
      </c>
      <c r="D69" s="21" t="s">
        <v>1325</v>
      </c>
      <c r="E69" s="21" t="s">
        <v>1327</v>
      </c>
      <c r="F69" s="21">
        <v>0</v>
      </c>
      <c r="G69" s="21" t="s">
        <v>33</v>
      </c>
      <c r="H69" s="21" t="s">
        <v>33</v>
      </c>
      <c r="I69" s="21" t="s">
        <v>33</v>
      </c>
      <c r="J69" s="21" t="s">
        <v>33</v>
      </c>
    </row>
    <row r="70" spans="1:10" ht="150" customHeight="1" x14ac:dyDescent="0.3">
      <c r="A70" s="61">
        <v>70</v>
      </c>
      <c r="B70" s="24" t="s">
        <v>124</v>
      </c>
      <c r="C70" s="39" t="s">
        <v>1329</v>
      </c>
      <c r="D70" s="21" t="s">
        <v>1325</v>
      </c>
      <c r="E70" s="21" t="s">
        <v>1326</v>
      </c>
      <c r="F70" s="21">
        <v>0</v>
      </c>
      <c r="G70" s="21" t="s">
        <v>33</v>
      </c>
      <c r="H70" s="21" t="s">
        <v>33</v>
      </c>
      <c r="I70" s="21" t="s">
        <v>33</v>
      </c>
      <c r="J70" s="21" t="s">
        <v>33</v>
      </c>
    </row>
    <row r="71" spans="1:10" ht="150" customHeight="1" x14ac:dyDescent="0.3">
      <c r="A71" s="61">
        <v>71</v>
      </c>
      <c r="B71" s="231" t="s">
        <v>551</v>
      </c>
      <c r="C71" s="39" t="s">
        <v>1316</v>
      </c>
      <c r="D71" s="61" t="s">
        <v>33</v>
      </c>
      <c r="E71" s="61" t="s">
        <v>33</v>
      </c>
      <c r="F71" s="386" t="s">
        <v>1312</v>
      </c>
      <c r="G71" s="8" t="s">
        <v>1313</v>
      </c>
      <c r="H71" s="8" t="s">
        <v>1314</v>
      </c>
      <c r="I71" s="8" t="s">
        <v>1315</v>
      </c>
      <c r="J71" s="387">
        <v>0</v>
      </c>
    </row>
    <row r="72" spans="1:10" ht="150" customHeight="1" x14ac:dyDescent="0.3">
      <c r="A72" s="61">
        <v>72</v>
      </c>
      <c r="B72" s="231" t="s">
        <v>552</v>
      </c>
      <c r="C72" s="39" t="s">
        <v>1318</v>
      </c>
      <c r="D72" s="61" t="s">
        <v>33</v>
      </c>
      <c r="E72" s="61" t="s">
        <v>33</v>
      </c>
      <c r="F72" s="386" t="s">
        <v>1312</v>
      </c>
      <c r="G72" s="8" t="s">
        <v>1313</v>
      </c>
      <c r="H72" s="8" t="s">
        <v>1314</v>
      </c>
      <c r="I72" s="8" t="s">
        <v>1315</v>
      </c>
      <c r="J72" s="387">
        <v>0</v>
      </c>
    </row>
    <row r="73" spans="1:10" ht="150" customHeight="1" x14ac:dyDescent="0.3">
      <c r="A73" s="61">
        <v>73</v>
      </c>
      <c r="B73" s="231" t="s">
        <v>553</v>
      </c>
      <c r="C73" s="39" t="s">
        <v>1316</v>
      </c>
      <c r="D73" s="61" t="s">
        <v>33</v>
      </c>
      <c r="E73" s="61" t="s">
        <v>33</v>
      </c>
      <c r="F73" s="386" t="s">
        <v>1312</v>
      </c>
      <c r="G73" s="8" t="s">
        <v>1313</v>
      </c>
      <c r="H73" s="8" t="s">
        <v>1314</v>
      </c>
      <c r="I73" s="8" t="s">
        <v>1315</v>
      </c>
      <c r="J73" s="387">
        <v>0</v>
      </c>
    </row>
    <row r="74" spans="1:10" ht="150" customHeight="1" x14ac:dyDescent="0.3">
      <c r="A74" s="61">
        <v>74</v>
      </c>
      <c r="B74" s="231" t="s">
        <v>554</v>
      </c>
      <c r="C74" s="39" t="s">
        <v>1175</v>
      </c>
      <c r="D74" s="61" t="s">
        <v>33</v>
      </c>
      <c r="E74" s="61" t="s">
        <v>33</v>
      </c>
      <c r="F74" s="386" t="s">
        <v>1312</v>
      </c>
      <c r="G74" s="8" t="s">
        <v>1313</v>
      </c>
      <c r="H74" s="8" t="s">
        <v>1314</v>
      </c>
      <c r="I74" s="8" t="s">
        <v>1315</v>
      </c>
      <c r="J74" s="387">
        <v>0</v>
      </c>
    </row>
    <row r="75" spans="1:10" ht="150" customHeight="1" x14ac:dyDescent="0.3">
      <c r="A75" s="61">
        <v>75</v>
      </c>
      <c r="B75" s="231" t="s">
        <v>561</v>
      </c>
      <c r="C75" s="39" t="s">
        <v>1175</v>
      </c>
      <c r="D75" s="21" t="s">
        <v>33</v>
      </c>
      <c r="E75" s="21" t="s">
        <v>1320</v>
      </c>
      <c r="F75" s="21" t="s">
        <v>1321</v>
      </c>
      <c r="G75" s="21">
        <v>0</v>
      </c>
      <c r="H75" s="21">
        <v>5.0000000000000001E-3</v>
      </c>
      <c r="I75" s="21" t="s">
        <v>1319</v>
      </c>
      <c r="J75" s="244" t="s">
        <v>1322</v>
      </c>
    </row>
    <row r="76" spans="1:10" ht="150" customHeight="1" x14ac:dyDescent="0.3">
      <c r="A76" s="61">
        <v>76</v>
      </c>
      <c r="B76" s="231" t="s">
        <v>562</v>
      </c>
      <c r="C76" s="39" t="s">
        <v>1175</v>
      </c>
      <c r="D76" s="21" t="s">
        <v>33</v>
      </c>
      <c r="E76" s="21" t="s">
        <v>1320</v>
      </c>
      <c r="F76" s="21" t="s">
        <v>1321</v>
      </c>
      <c r="G76" s="21">
        <v>0</v>
      </c>
      <c r="H76" s="21">
        <v>5.0000000000000001E-3</v>
      </c>
      <c r="I76" s="21">
        <v>0.01</v>
      </c>
      <c r="J76" s="244" t="s">
        <v>1322</v>
      </c>
    </row>
    <row r="77" spans="1:10" ht="150" customHeight="1" x14ac:dyDescent="0.3">
      <c r="A77" s="61">
        <v>77</v>
      </c>
      <c r="B77" s="231" t="s">
        <v>563</v>
      </c>
      <c r="C77" s="39" t="s">
        <v>1175</v>
      </c>
      <c r="D77" s="21" t="s">
        <v>33</v>
      </c>
      <c r="E77" s="21" t="s">
        <v>1320</v>
      </c>
      <c r="F77" s="21" t="s">
        <v>1321</v>
      </c>
      <c r="G77" s="21">
        <v>0</v>
      </c>
      <c r="H77" s="21">
        <v>5.0000000000000001E-3</v>
      </c>
      <c r="I77" s="21">
        <v>0.01</v>
      </c>
      <c r="J77" s="244" t="s">
        <v>1322</v>
      </c>
    </row>
    <row r="78" spans="1:10" ht="150" customHeight="1" x14ac:dyDescent="0.3">
      <c r="A78" s="61">
        <v>78</v>
      </c>
      <c r="B78" s="231" t="s">
        <v>564</v>
      </c>
      <c r="C78" s="39" t="s">
        <v>1175</v>
      </c>
      <c r="D78" s="21" t="s">
        <v>33</v>
      </c>
      <c r="E78" s="21" t="s">
        <v>1320</v>
      </c>
      <c r="F78" s="21" t="s">
        <v>1321</v>
      </c>
      <c r="G78" s="21">
        <v>0</v>
      </c>
      <c r="H78" s="21">
        <v>5.0000000000000001E-3</v>
      </c>
      <c r="I78" s="21">
        <v>0.01</v>
      </c>
      <c r="J78" s="244" t="s">
        <v>1322</v>
      </c>
    </row>
    <row r="79" spans="1:10" ht="150" customHeight="1" x14ac:dyDescent="0.3">
      <c r="A79" s="61">
        <v>79</v>
      </c>
      <c r="B79" s="24" t="s">
        <v>565</v>
      </c>
      <c r="C79" s="39" t="s">
        <v>1175</v>
      </c>
      <c r="D79" s="21" t="s">
        <v>33</v>
      </c>
      <c r="E79" s="21" t="s">
        <v>1320</v>
      </c>
      <c r="F79" s="21" t="s">
        <v>1321</v>
      </c>
      <c r="G79" s="21">
        <v>0</v>
      </c>
      <c r="H79" s="21">
        <v>5.0000000000000001E-3</v>
      </c>
      <c r="I79" s="21">
        <v>0.01</v>
      </c>
      <c r="J79" s="244" t="s">
        <v>1322</v>
      </c>
    </row>
    <row r="80" spans="1:10" ht="150" customHeight="1" x14ac:dyDescent="0.3">
      <c r="A80" s="61">
        <v>80</v>
      </c>
      <c r="B80" s="231" t="s">
        <v>567</v>
      </c>
      <c r="C80" s="39" t="s">
        <v>1336</v>
      </c>
      <c r="D80" s="21" t="s">
        <v>33</v>
      </c>
      <c r="E80" s="21" t="s">
        <v>1338</v>
      </c>
      <c r="F80" s="21" t="s">
        <v>1183</v>
      </c>
      <c r="G80" s="21" t="s">
        <v>1323</v>
      </c>
      <c r="H80" s="21" t="s">
        <v>33</v>
      </c>
      <c r="I80" s="21" t="s">
        <v>1324</v>
      </c>
      <c r="J80" s="244" t="s">
        <v>1322</v>
      </c>
    </row>
    <row r="81" spans="1:10" ht="150" customHeight="1" x14ac:dyDescent="0.3">
      <c r="A81" s="61">
        <v>81</v>
      </c>
      <c r="B81" s="231" t="s">
        <v>568</v>
      </c>
      <c r="C81" s="39" t="s">
        <v>1337</v>
      </c>
      <c r="D81" s="21" t="s">
        <v>33</v>
      </c>
      <c r="E81" s="21" t="s">
        <v>1340</v>
      </c>
      <c r="F81" s="21" t="s">
        <v>1183</v>
      </c>
      <c r="G81" s="21" t="s">
        <v>1323</v>
      </c>
      <c r="H81" s="21" t="s">
        <v>33</v>
      </c>
      <c r="I81" s="21" t="s">
        <v>1324</v>
      </c>
      <c r="J81" s="244" t="s">
        <v>1322</v>
      </c>
    </row>
    <row r="82" spans="1:10" ht="150" customHeight="1" x14ac:dyDescent="0.3">
      <c r="A82" s="61">
        <v>82</v>
      </c>
      <c r="B82" s="24" t="s">
        <v>569</v>
      </c>
      <c r="C82" s="39" t="s">
        <v>1339</v>
      </c>
      <c r="D82" s="21" t="s">
        <v>33</v>
      </c>
      <c r="E82" s="21" t="s">
        <v>1340</v>
      </c>
      <c r="F82" s="21" t="s">
        <v>1183</v>
      </c>
      <c r="G82" s="21" t="s">
        <v>1323</v>
      </c>
      <c r="H82" s="21" t="s">
        <v>33</v>
      </c>
      <c r="I82" s="21" t="s">
        <v>1324</v>
      </c>
      <c r="J82" s="244" t="s">
        <v>1322</v>
      </c>
    </row>
    <row r="83" spans="1:10" ht="150" customHeight="1" x14ac:dyDescent="0.3">
      <c r="A83" s="61">
        <v>83</v>
      </c>
      <c r="B83" s="231" t="s">
        <v>570</v>
      </c>
      <c r="C83" s="39" t="s">
        <v>1347</v>
      </c>
      <c r="D83" s="241" t="s">
        <v>1325</v>
      </c>
      <c r="E83" s="241" t="s">
        <v>1348</v>
      </c>
      <c r="F83" s="21" t="s">
        <v>1183</v>
      </c>
      <c r="G83" s="241">
        <v>0</v>
      </c>
      <c r="H83" s="21" t="s">
        <v>33</v>
      </c>
      <c r="I83" s="241">
        <v>0</v>
      </c>
      <c r="J83" s="245">
        <v>0</v>
      </c>
    </row>
    <row r="84" spans="1:10" ht="150" customHeight="1" x14ac:dyDescent="0.3">
      <c r="A84" s="61">
        <v>84</v>
      </c>
      <c r="B84" s="231" t="s">
        <v>396</v>
      </c>
      <c r="C84" s="39" t="s">
        <v>1349</v>
      </c>
      <c r="D84" s="241" t="s">
        <v>1325</v>
      </c>
      <c r="E84" s="241" t="s">
        <v>1350</v>
      </c>
      <c r="F84" s="21" t="s">
        <v>1183</v>
      </c>
      <c r="G84" s="241">
        <v>0</v>
      </c>
      <c r="H84" s="21" t="s">
        <v>33</v>
      </c>
      <c r="I84" s="241">
        <v>0</v>
      </c>
      <c r="J84" s="245">
        <v>0</v>
      </c>
    </row>
    <row r="85" spans="1:10" ht="150" customHeight="1" x14ac:dyDescent="0.3">
      <c r="A85" s="61">
        <v>85</v>
      </c>
      <c r="B85" s="24" t="s">
        <v>571</v>
      </c>
      <c r="C85" s="39" t="s">
        <v>1351</v>
      </c>
      <c r="D85" s="241" t="s">
        <v>1325</v>
      </c>
      <c r="E85" s="241" t="s">
        <v>1352</v>
      </c>
      <c r="F85" s="21" t="s">
        <v>1183</v>
      </c>
      <c r="G85" s="241">
        <v>0</v>
      </c>
      <c r="H85" s="21" t="s">
        <v>33</v>
      </c>
      <c r="I85" s="241">
        <v>0</v>
      </c>
      <c r="J85" s="245">
        <v>0</v>
      </c>
    </row>
    <row r="86" spans="1:10" ht="150" customHeight="1" x14ac:dyDescent="0.3">
      <c r="A86" s="61">
        <v>86</v>
      </c>
      <c r="B86" s="231" t="s">
        <v>572</v>
      </c>
      <c r="C86" s="39" t="s">
        <v>1353</v>
      </c>
      <c r="D86" s="241" t="s">
        <v>1325</v>
      </c>
      <c r="E86" s="241" t="s">
        <v>1354</v>
      </c>
      <c r="F86" s="21" t="s">
        <v>1183</v>
      </c>
      <c r="G86" s="241">
        <v>0</v>
      </c>
      <c r="H86" s="21" t="s">
        <v>33</v>
      </c>
      <c r="I86" s="241">
        <v>0</v>
      </c>
      <c r="J86" s="245">
        <v>0</v>
      </c>
    </row>
    <row r="87" spans="1:10" ht="150" customHeight="1" x14ac:dyDescent="0.3">
      <c r="A87" s="61">
        <v>87</v>
      </c>
      <c r="B87" s="231" t="s">
        <v>574</v>
      </c>
      <c r="C87" s="39" t="s">
        <v>1355</v>
      </c>
      <c r="D87" s="241" t="s">
        <v>1325</v>
      </c>
      <c r="E87" s="241" t="s">
        <v>0</v>
      </c>
      <c r="F87" s="21" t="s">
        <v>1183</v>
      </c>
      <c r="G87" s="241">
        <v>0</v>
      </c>
      <c r="H87" s="21" t="s">
        <v>33</v>
      </c>
      <c r="I87" s="241">
        <v>0</v>
      </c>
      <c r="J87" s="245">
        <v>0</v>
      </c>
    </row>
    <row r="88" spans="1:10" ht="150" customHeight="1" x14ac:dyDescent="0.3">
      <c r="A88" s="61">
        <v>88</v>
      </c>
      <c r="B88" s="231" t="s">
        <v>576</v>
      </c>
      <c r="C88" s="39" t="s">
        <v>1356</v>
      </c>
      <c r="D88" s="241" t="s">
        <v>1325</v>
      </c>
      <c r="E88" s="241" t="s">
        <v>0</v>
      </c>
      <c r="F88" s="21" t="s">
        <v>1183</v>
      </c>
      <c r="G88" s="241">
        <v>0</v>
      </c>
      <c r="H88" s="21" t="s">
        <v>33</v>
      </c>
      <c r="I88" s="241">
        <v>0</v>
      </c>
      <c r="J88" s="245">
        <v>0</v>
      </c>
    </row>
    <row r="89" spans="1:10" ht="150" customHeight="1" x14ac:dyDescent="0.3">
      <c r="A89" s="61">
        <v>89</v>
      </c>
      <c r="B89" s="231" t="s">
        <v>575</v>
      </c>
      <c r="C89" s="39" t="s">
        <v>1357</v>
      </c>
      <c r="D89" s="241" t="s">
        <v>1325</v>
      </c>
      <c r="E89" s="241" t="s">
        <v>0</v>
      </c>
      <c r="F89" s="21" t="s">
        <v>1183</v>
      </c>
      <c r="G89" s="241">
        <v>0</v>
      </c>
      <c r="H89" s="21" t="s">
        <v>33</v>
      </c>
      <c r="I89" s="241">
        <v>0</v>
      </c>
      <c r="J89" s="245">
        <v>0</v>
      </c>
    </row>
    <row r="90" spans="1:10" ht="150" customHeight="1" x14ac:dyDescent="0.3">
      <c r="A90" s="61">
        <v>90</v>
      </c>
      <c r="B90" s="231" t="s">
        <v>573</v>
      </c>
      <c r="C90" s="39" t="s">
        <v>1358</v>
      </c>
      <c r="D90" s="241" t="s">
        <v>1325</v>
      </c>
      <c r="E90" s="241" t="s">
        <v>0</v>
      </c>
      <c r="F90" s="21" t="s">
        <v>1183</v>
      </c>
      <c r="G90" s="241">
        <v>0</v>
      </c>
      <c r="H90" s="21" t="s">
        <v>33</v>
      </c>
      <c r="I90" s="241">
        <v>0</v>
      </c>
      <c r="J90" s="245">
        <v>0</v>
      </c>
    </row>
    <row r="91" spans="1:10" ht="150" customHeight="1" x14ac:dyDescent="0.3">
      <c r="A91" s="61">
        <v>91</v>
      </c>
      <c r="B91" s="231" t="s">
        <v>555</v>
      </c>
      <c r="C91" s="39" t="s">
        <v>1365</v>
      </c>
      <c r="D91" s="241" t="s">
        <v>33</v>
      </c>
      <c r="E91" s="241" t="s">
        <v>1368</v>
      </c>
      <c r="F91" s="21" t="s">
        <v>1183</v>
      </c>
      <c r="G91" s="241">
        <v>0</v>
      </c>
      <c r="H91" s="21" t="s">
        <v>1183</v>
      </c>
      <c r="I91" s="241">
        <v>0</v>
      </c>
      <c r="J91" s="245">
        <v>0</v>
      </c>
    </row>
    <row r="92" spans="1:10" ht="150" customHeight="1" x14ac:dyDescent="0.3">
      <c r="A92" s="61">
        <v>92</v>
      </c>
      <c r="B92" s="231" t="s">
        <v>577</v>
      </c>
      <c r="C92" s="39" t="s">
        <v>1366</v>
      </c>
      <c r="D92" s="241" t="s">
        <v>33</v>
      </c>
      <c r="E92" s="241" t="s">
        <v>1368</v>
      </c>
      <c r="F92" s="21" t="s">
        <v>1183</v>
      </c>
      <c r="G92" s="241">
        <v>0</v>
      </c>
      <c r="H92" s="21" t="s">
        <v>1183</v>
      </c>
      <c r="I92" s="241">
        <v>0</v>
      </c>
      <c r="J92" s="245">
        <v>0</v>
      </c>
    </row>
    <row r="93" spans="1:10" ht="150" customHeight="1" x14ac:dyDescent="0.3">
      <c r="A93" s="61">
        <v>93</v>
      </c>
      <c r="B93" s="231" t="s">
        <v>578</v>
      </c>
      <c r="C93" s="39" t="s">
        <v>1367</v>
      </c>
      <c r="D93" s="241" t="s">
        <v>33</v>
      </c>
      <c r="E93" s="241" t="s">
        <v>1368</v>
      </c>
      <c r="F93" s="21" t="s">
        <v>1183</v>
      </c>
      <c r="G93" s="241">
        <v>0</v>
      </c>
      <c r="H93" s="21" t="s">
        <v>1183</v>
      </c>
      <c r="I93" s="241">
        <v>0</v>
      </c>
      <c r="J93" s="245">
        <v>0</v>
      </c>
    </row>
    <row r="94" spans="1:10" ht="150" customHeight="1" x14ac:dyDescent="0.3">
      <c r="A94" s="61">
        <v>94</v>
      </c>
      <c r="B94" s="231" t="s">
        <v>579</v>
      </c>
      <c r="C94" s="39" t="s">
        <v>1253</v>
      </c>
      <c r="D94" s="241" t="s">
        <v>33</v>
      </c>
      <c r="E94" s="241" t="s">
        <v>1364</v>
      </c>
      <c r="F94" s="21" t="s">
        <v>1183</v>
      </c>
      <c r="G94" s="21">
        <v>0</v>
      </c>
      <c r="H94" s="21" t="s">
        <v>1183</v>
      </c>
      <c r="I94" s="241">
        <v>0</v>
      </c>
      <c r="J94" s="241">
        <v>0</v>
      </c>
    </row>
    <row r="95" spans="1:10" ht="150" customHeight="1" x14ac:dyDescent="0.3">
      <c r="A95" s="61">
        <v>95</v>
      </c>
      <c r="B95" s="231" t="s">
        <v>580</v>
      </c>
      <c r="C95" s="39" t="s">
        <v>1359</v>
      </c>
      <c r="D95" s="241" t="s">
        <v>33</v>
      </c>
      <c r="E95" s="241" t="s">
        <v>1360</v>
      </c>
      <c r="F95" s="21" t="s">
        <v>1183</v>
      </c>
      <c r="G95" s="241">
        <v>0</v>
      </c>
      <c r="H95" s="241" t="s">
        <v>1361</v>
      </c>
      <c r="I95" s="241" t="s">
        <v>1361</v>
      </c>
      <c r="J95" s="241" t="s">
        <v>1361</v>
      </c>
    </row>
    <row r="96" spans="1:10" ht="150" customHeight="1" x14ac:dyDescent="0.3">
      <c r="A96" s="61">
        <v>96</v>
      </c>
      <c r="B96" s="231" t="s">
        <v>581</v>
      </c>
      <c r="C96" s="39" t="s">
        <v>1175</v>
      </c>
      <c r="D96" s="241" t="s">
        <v>33</v>
      </c>
      <c r="E96" s="241" t="s">
        <v>33</v>
      </c>
      <c r="F96" s="241" t="s">
        <v>33</v>
      </c>
      <c r="G96" s="241" t="s">
        <v>33</v>
      </c>
      <c r="H96" s="241" t="s">
        <v>33</v>
      </c>
      <c r="I96" s="241" t="s">
        <v>33</v>
      </c>
      <c r="J96" s="241" t="s">
        <v>33</v>
      </c>
    </row>
    <row r="97" spans="1:10" ht="150" customHeight="1" x14ac:dyDescent="0.3">
      <c r="A97" s="61">
        <v>97</v>
      </c>
      <c r="B97" s="231" t="s">
        <v>624</v>
      </c>
      <c r="C97" s="39" t="s">
        <v>1346</v>
      </c>
      <c r="D97" s="241" t="s">
        <v>33</v>
      </c>
      <c r="E97" s="241" t="s">
        <v>33</v>
      </c>
      <c r="F97" s="241" t="s">
        <v>1183</v>
      </c>
      <c r="G97" s="241">
        <v>0</v>
      </c>
      <c r="H97" s="241">
        <v>0.01</v>
      </c>
      <c r="I97" s="241">
        <v>0</v>
      </c>
      <c r="J97" s="245">
        <v>0</v>
      </c>
    </row>
    <row r="98" spans="1:10" x14ac:dyDescent="0.3">
      <c r="B98"/>
      <c r="C98" s="242"/>
      <c r="D98" s="5"/>
      <c r="E98"/>
      <c r="F98"/>
      <c r="G98"/>
      <c r="H98"/>
      <c r="I98"/>
      <c r="J98"/>
    </row>
    <row r="100" spans="1:10" x14ac:dyDescent="0.3">
      <c r="B100"/>
      <c r="C100" s="242"/>
      <c r="D100" s="5"/>
      <c r="E100"/>
      <c r="F100"/>
      <c r="G100"/>
      <c r="H100"/>
      <c r="I100"/>
      <c r="J100"/>
    </row>
    <row r="101" spans="1:10" x14ac:dyDescent="0.3">
      <c r="B101"/>
      <c r="C101" s="242"/>
      <c r="D101" s="5"/>
      <c r="E101"/>
      <c r="F101"/>
      <c r="G101"/>
      <c r="H101"/>
      <c r="I101"/>
      <c r="J101"/>
    </row>
    <row r="102" spans="1:10" x14ac:dyDescent="0.3">
      <c r="B102"/>
      <c r="C102" s="242"/>
      <c r="D102" s="5"/>
      <c r="E102"/>
      <c r="F102"/>
      <c r="G102"/>
      <c r="H102"/>
      <c r="I102"/>
      <c r="J102"/>
    </row>
    <row r="103" spans="1:10" x14ac:dyDescent="0.3">
      <c r="B103"/>
      <c r="C103" s="242"/>
      <c r="D103" s="5"/>
      <c r="E103"/>
      <c r="F103"/>
      <c r="G103"/>
      <c r="H103"/>
      <c r="I103"/>
      <c r="J103"/>
    </row>
    <row r="104" spans="1:10" x14ac:dyDescent="0.3">
      <c r="B104"/>
      <c r="C104" s="242"/>
      <c r="D104" s="5"/>
      <c r="E104"/>
      <c r="F104"/>
      <c r="G104"/>
      <c r="H104"/>
      <c r="I104"/>
      <c r="J104"/>
    </row>
    <row r="105" spans="1:10" x14ac:dyDescent="0.3">
      <c r="B105"/>
      <c r="C105" s="242"/>
      <c r="D105" s="5"/>
      <c r="E105"/>
      <c r="F105"/>
      <c r="G105"/>
      <c r="H105"/>
      <c r="I105"/>
      <c r="J105"/>
    </row>
    <row r="106" spans="1:10" x14ac:dyDescent="0.3">
      <c r="B106"/>
      <c r="C106" s="242"/>
      <c r="D106" s="5"/>
      <c r="E106"/>
      <c r="F106"/>
      <c r="G106"/>
      <c r="H106"/>
      <c r="I106"/>
      <c r="J106"/>
    </row>
    <row r="107" spans="1:10" x14ac:dyDescent="0.3">
      <c r="B107"/>
      <c r="C107" s="242"/>
      <c r="D107" s="5"/>
      <c r="E107"/>
      <c r="F107"/>
      <c r="G107"/>
      <c r="H107"/>
      <c r="I107"/>
      <c r="J107"/>
    </row>
    <row r="108" spans="1:10" x14ac:dyDescent="0.3">
      <c r="B108"/>
      <c r="C108" s="242"/>
      <c r="D108" s="5"/>
      <c r="E108"/>
      <c r="F108"/>
      <c r="G108"/>
      <c r="H108"/>
      <c r="I108"/>
      <c r="J108"/>
    </row>
    <row r="109" spans="1:10" x14ac:dyDescent="0.3">
      <c r="B109"/>
      <c r="C109" s="242"/>
      <c r="D109" s="5"/>
      <c r="E109"/>
      <c r="F109"/>
      <c r="G109"/>
      <c r="H109"/>
      <c r="I109"/>
      <c r="J109"/>
    </row>
    <row r="110" spans="1:10" x14ac:dyDescent="0.3">
      <c r="B110"/>
      <c r="C110" s="242"/>
      <c r="D110" s="5"/>
      <c r="E110"/>
      <c r="F110"/>
      <c r="G110"/>
      <c r="H110"/>
      <c r="I110"/>
      <c r="J110"/>
    </row>
    <row r="111" spans="1:10" x14ac:dyDescent="0.3">
      <c r="B111"/>
      <c r="C111" s="242"/>
      <c r="D111" s="5"/>
      <c r="E111"/>
      <c r="F111"/>
      <c r="G111"/>
      <c r="H111"/>
      <c r="I111"/>
      <c r="J111"/>
    </row>
    <row r="112" spans="1:10" x14ac:dyDescent="0.3">
      <c r="B112"/>
      <c r="C112" s="242"/>
      <c r="D112" s="5"/>
      <c r="E112"/>
      <c r="F112"/>
      <c r="G112"/>
      <c r="H112"/>
      <c r="I112"/>
      <c r="J112"/>
    </row>
    <row r="113" spans="3:4" customFormat="1" x14ac:dyDescent="0.3">
      <c r="C113" s="242"/>
      <c r="D113" s="5"/>
    </row>
    <row r="114" spans="3:4" customFormat="1" x14ac:dyDescent="0.3">
      <c r="C114" s="242"/>
      <c r="D114" s="5"/>
    </row>
    <row r="115" spans="3:4" customFormat="1" x14ac:dyDescent="0.3">
      <c r="C115" s="242"/>
      <c r="D115" s="5"/>
    </row>
    <row r="116" spans="3:4" customFormat="1" x14ac:dyDescent="0.3">
      <c r="C116" s="242"/>
      <c r="D116" s="5"/>
    </row>
    <row r="117" spans="3:4" customFormat="1" x14ac:dyDescent="0.3">
      <c r="C117" s="242"/>
      <c r="D117" s="5"/>
    </row>
    <row r="118" spans="3:4" customFormat="1" x14ac:dyDescent="0.3">
      <c r="C118" s="242"/>
      <c r="D118" s="5"/>
    </row>
    <row r="119" spans="3:4" customFormat="1" x14ac:dyDescent="0.3">
      <c r="C119" s="242"/>
      <c r="D119" s="5"/>
    </row>
    <row r="120" spans="3:4" customFormat="1" x14ac:dyDescent="0.3">
      <c r="C120" s="242"/>
      <c r="D120" s="5"/>
    </row>
    <row r="121" spans="3:4" customFormat="1" x14ac:dyDescent="0.3">
      <c r="C121" s="242"/>
      <c r="D121" s="5"/>
    </row>
    <row r="122" spans="3:4" customFormat="1" x14ac:dyDescent="0.3">
      <c r="C122" s="242"/>
      <c r="D122" s="5"/>
    </row>
    <row r="123" spans="3:4" customFormat="1" x14ac:dyDescent="0.3">
      <c r="C123" s="242"/>
      <c r="D123" s="5"/>
    </row>
    <row r="124" spans="3:4" customFormat="1" x14ac:dyDescent="0.3">
      <c r="C124" s="242"/>
      <c r="D124" s="5"/>
    </row>
    <row r="125" spans="3:4" customFormat="1" x14ac:dyDescent="0.3">
      <c r="C125" s="242"/>
      <c r="D125" s="5"/>
    </row>
    <row r="126" spans="3:4" customFormat="1" x14ac:dyDescent="0.3">
      <c r="C126" s="242"/>
      <c r="D126" s="5"/>
    </row>
    <row r="127" spans="3:4" customFormat="1" x14ac:dyDescent="0.3">
      <c r="C127" s="242"/>
      <c r="D127" s="5"/>
    </row>
    <row r="128" spans="3:4" customFormat="1" x14ac:dyDescent="0.3">
      <c r="C128" s="242"/>
      <c r="D128" s="5"/>
    </row>
    <row r="129" spans="3:4" customFormat="1" x14ac:dyDescent="0.3">
      <c r="C129" s="242"/>
      <c r="D129" s="5"/>
    </row>
    <row r="130" spans="3:4" customFormat="1" x14ac:dyDescent="0.3">
      <c r="C130" s="242"/>
      <c r="D130" s="5"/>
    </row>
    <row r="131" spans="3:4" customFormat="1" x14ac:dyDescent="0.3">
      <c r="C131" s="242"/>
      <c r="D131" s="5"/>
    </row>
    <row r="132" spans="3:4" customFormat="1" x14ac:dyDescent="0.3">
      <c r="C132" s="242"/>
      <c r="D132" s="5"/>
    </row>
    <row r="133" spans="3:4" customFormat="1" x14ac:dyDescent="0.3">
      <c r="C133" s="242"/>
      <c r="D133" s="5"/>
    </row>
    <row r="134" spans="3:4" customFormat="1" x14ac:dyDescent="0.3">
      <c r="C134" s="242"/>
      <c r="D134" s="5"/>
    </row>
    <row r="135" spans="3:4" customFormat="1" x14ac:dyDescent="0.3">
      <c r="C135" s="242"/>
      <c r="D135" s="5"/>
    </row>
    <row r="136" spans="3:4" customFormat="1" x14ac:dyDescent="0.3">
      <c r="C136" s="242"/>
      <c r="D136" s="5"/>
    </row>
    <row r="137" spans="3:4" customFormat="1" x14ac:dyDescent="0.3">
      <c r="C137" s="242"/>
      <c r="D137" s="5"/>
    </row>
    <row r="138" spans="3:4" customFormat="1" x14ac:dyDescent="0.3">
      <c r="C138" s="242"/>
      <c r="D138" s="5"/>
    </row>
    <row r="139" spans="3:4" customFormat="1" x14ac:dyDescent="0.3">
      <c r="C139" s="242"/>
      <c r="D139" s="5"/>
    </row>
    <row r="140" spans="3:4" customFormat="1" x14ac:dyDescent="0.3">
      <c r="C140" s="242"/>
      <c r="D140" s="5"/>
    </row>
    <row r="141" spans="3:4" customFormat="1" x14ac:dyDescent="0.3">
      <c r="C141" s="242"/>
      <c r="D141" s="5"/>
    </row>
    <row r="142" spans="3:4" customFormat="1" x14ac:dyDescent="0.3">
      <c r="C142" s="242"/>
      <c r="D142" s="5"/>
    </row>
    <row r="143" spans="3:4" customFormat="1" x14ac:dyDescent="0.3">
      <c r="C143" s="242"/>
      <c r="D143" s="5"/>
    </row>
    <row r="144" spans="3:4" customFormat="1" x14ac:dyDescent="0.3">
      <c r="C144" s="242"/>
      <c r="D144" s="5"/>
    </row>
    <row r="145" spans="3:4" customFormat="1" x14ac:dyDescent="0.3">
      <c r="C145" s="242"/>
      <c r="D145" s="5"/>
    </row>
    <row r="146" spans="3:4" customFormat="1" x14ac:dyDescent="0.3">
      <c r="C146" s="242"/>
      <c r="D146" s="5"/>
    </row>
    <row r="147" spans="3:4" customFormat="1" x14ac:dyDescent="0.3">
      <c r="C147" s="242"/>
      <c r="D147" s="5"/>
    </row>
    <row r="148" spans="3:4" customFormat="1" x14ac:dyDescent="0.3">
      <c r="C148" s="242"/>
      <c r="D148" s="5"/>
    </row>
    <row r="149" spans="3:4" customFormat="1" x14ac:dyDescent="0.3">
      <c r="C149" s="242"/>
      <c r="D149" s="5"/>
    </row>
    <row r="150" spans="3:4" customFormat="1" x14ac:dyDescent="0.3">
      <c r="C150" s="242"/>
      <c r="D150" s="5"/>
    </row>
    <row r="151" spans="3:4" customFormat="1" x14ac:dyDescent="0.3">
      <c r="C151" s="242"/>
      <c r="D151" s="5"/>
    </row>
    <row r="152" spans="3:4" customFormat="1" x14ac:dyDescent="0.3">
      <c r="C152" s="242"/>
      <c r="D152" s="5"/>
    </row>
    <row r="153" spans="3:4" customFormat="1" x14ac:dyDescent="0.3">
      <c r="C153" s="242"/>
      <c r="D153" s="5"/>
    </row>
    <row r="154" spans="3:4" customFormat="1" x14ac:dyDescent="0.3">
      <c r="C154" s="242"/>
      <c r="D154" s="5"/>
    </row>
    <row r="155" spans="3:4" customFormat="1" x14ac:dyDescent="0.3">
      <c r="C155" s="242"/>
      <c r="D155" s="5"/>
    </row>
    <row r="156" spans="3:4" customFormat="1" x14ac:dyDescent="0.3">
      <c r="C156" s="242"/>
      <c r="D156" s="5"/>
    </row>
    <row r="157" spans="3:4" customFormat="1" x14ac:dyDescent="0.3">
      <c r="C157" s="242"/>
      <c r="D157" s="5"/>
    </row>
    <row r="158" spans="3:4" customFormat="1" x14ac:dyDescent="0.3">
      <c r="C158" s="242"/>
      <c r="D158" s="5"/>
    </row>
    <row r="159" spans="3:4" customFormat="1" x14ac:dyDescent="0.3">
      <c r="C159" s="242"/>
      <c r="D159" s="5"/>
    </row>
    <row r="160" spans="3:4" customFormat="1" x14ac:dyDescent="0.3">
      <c r="C160" s="242"/>
      <c r="D160" s="5"/>
    </row>
    <row r="161" spans="3:4" customFormat="1" x14ac:dyDescent="0.3">
      <c r="C161" s="242"/>
      <c r="D161" s="5"/>
    </row>
    <row r="162" spans="3:4" customFormat="1" x14ac:dyDescent="0.3">
      <c r="C162" s="242"/>
      <c r="D162" s="5"/>
    </row>
    <row r="163" spans="3:4" customFormat="1" x14ac:dyDescent="0.3">
      <c r="C163" s="242"/>
      <c r="D163" s="5"/>
    </row>
    <row r="164" spans="3:4" customFormat="1" x14ac:dyDescent="0.3">
      <c r="C164" s="242"/>
      <c r="D164" s="5"/>
    </row>
    <row r="165" spans="3:4" customFormat="1" x14ac:dyDescent="0.3">
      <c r="C165" s="242"/>
      <c r="D165" s="5"/>
    </row>
    <row r="166" spans="3:4" customFormat="1" x14ac:dyDescent="0.3">
      <c r="C166" s="242"/>
      <c r="D166" s="5"/>
    </row>
    <row r="167" spans="3:4" customFormat="1" x14ac:dyDescent="0.3">
      <c r="C167" s="242"/>
      <c r="D167" s="5"/>
    </row>
    <row r="168" spans="3:4" customFormat="1" x14ac:dyDescent="0.3">
      <c r="C168" s="242"/>
      <c r="D168" s="5"/>
    </row>
    <row r="169" spans="3:4" customFormat="1" x14ac:dyDescent="0.3">
      <c r="C169" s="242"/>
      <c r="D169" s="5"/>
    </row>
    <row r="170" spans="3:4" customFormat="1" x14ac:dyDescent="0.3">
      <c r="C170" s="242"/>
      <c r="D170" s="5"/>
    </row>
    <row r="171" spans="3:4" customFormat="1" x14ac:dyDescent="0.3">
      <c r="C171" s="242"/>
      <c r="D171" s="5"/>
    </row>
    <row r="172" spans="3:4" customFormat="1" x14ac:dyDescent="0.3">
      <c r="C172" s="242"/>
      <c r="D172" s="5"/>
    </row>
    <row r="173" spans="3:4" customFormat="1" x14ac:dyDescent="0.3">
      <c r="C173" s="242"/>
      <c r="D173" s="5"/>
    </row>
    <row r="174" spans="3:4" customFormat="1" x14ac:dyDescent="0.3">
      <c r="C174" s="242"/>
      <c r="D174" s="5"/>
    </row>
    <row r="175" spans="3:4" customFormat="1" x14ac:dyDescent="0.3">
      <c r="C175" s="242"/>
      <c r="D175" s="5"/>
    </row>
    <row r="176" spans="3:4" customFormat="1" x14ac:dyDescent="0.3">
      <c r="C176" s="242"/>
      <c r="D176" s="5"/>
    </row>
    <row r="177" spans="3:9" customFormat="1" x14ac:dyDescent="0.3">
      <c r="C177" s="242"/>
      <c r="D177" s="5"/>
    </row>
    <row r="178" spans="3:9" customFormat="1" x14ac:dyDescent="0.3">
      <c r="C178" s="242"/>
      <c r="D178" s="5"/>
    </row>
    <row r="179" spans="3:9" customFormat="1" x14ac:dyDescent="0.3">
      <c r="C179" s="242"/>
      <c r="D179" s="5"/>
    </row>
    <row r="180" spans="3:9" customFormat="1" x14ac:dyDescent="0.3">
      <c r="C180" s="242"/>
      <c r="D180" s="5"/>
    </row>
    <row r="181" spans="3:9" customFormat="1" x14ac:dyDescent="0.3">
      <c r="C181" s="242"/>
      <c r="D181" s="5"/>
    </row>
    <row r="182" spans="3:9" customFormat="1" x14ac:dyDescent="0.3">
      <c r="C182" s="242"/>
      <c r="D182" s="5"/>
    </row>
    <row r="183" spans="3:9" customFormat="1" x14ac:dyDescent="0.3">
      <c r="C183" s="242"/>
      <c r="D183" s="5"/>
    </row>
    <row r="184" spans="3:9" customFormat="1" x14ac:dyDescent="0.3">
      <c r="C184" s="242"/>
      <c r="D184" s="5"/>
    </row>
    <row r="185" spans="3:9" customFormat="1" x14ac:dyDescent="0.3">
      <c r="C185" s="242"/>
      <c r="D185" s="5"/>
    </row>
    <row r="186" spans="3:9" customFormat="1" x14ac:dyDescent="0.3">
      <c r="C186" s="242"/>
      <c r="D186" s="5"/>
      <c r="I186">
        <f ca="1">I186</f>
        <v>0</v>
      </c>
    </row>
    <row r="187" spans="3:9" customFormat="1" x14ac:dyDescent="0.3">
      <c r="C187" s="242"/>
      <c r="D187" s="5"/>
    </row>
    <row r="188" spans="3:9" customFormat="1" x14ac:dyDescent="0.3">
      <c r="C188" s="242"/>
      <c r="D188" s="5"/>
    </row>
    <row r="189" spans="3:9" customFormat="1" x14ac:dyDescent="0.3">
      <c r="C189" s="242"/>
      <c r="D189" s="5"/>
    </row>
    <row r="190" spans="3:9" customFormat="1" x14ac:dyDescent="0.3">
      <c r="C190" s="242"/>
      <c r="D190" s="5"/>
    </row>
  </sheetData>
  <autoFilter ref="A1:J1" xr:uid="{C0A44D75-5D0D-4721-A181-E049418FA6AC}"/>
  <phoneticPr fontId="6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Quick Report (2)</vt:lpstr>
      <vt:lpstr>Credit Card Database</vt:lpstr>
      <vt:lpstr>Quick Report</vt:lpstr>
      <vt:lpstr>Summary &amp; Insights</vt:lpstr>
      <vt:lpstr>ROI &amp; RR Calculators</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ajay chodipilli</dc:creator>
  <cp:lastModifiedBy>ajay chodipilli</cp:lastModifiedBy>
  <dcterms:created xsi:type="dcterms:W3CDTF">2025-02-04T06:22:57Z</dcterms:created>
  <dcterms:modified xsi:type="dcterms:W3CDTF">2025-02-14T16:25:56Z</dcterms:modified>
</cp:coreProperties>
</file>